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ignal_somme_deux_sinus" sheetId="1" r:id="rId1"/>
  </sheets>
  <calcPr calcId="152511"/>
</workbook>
</file>

<file path=xl/calcChain.xml><?xml version="1.0" encoding="utf-8"?>
<calcChain xmlns="http://schemas.openxmlformats.org/spreadsheetml/2006/main">
  <c r="B16" i="1" l="1"/>
  <c r="C16" i="1"/>
  <c r="B17" i="1"/>
  <c r="C17" i="1"/>
  <c r="B18" i="1"/>
  <c r="C18" i="1"/>
  <c r="B19" i="1"/>
  <c r="C19" i="1"/>
  <c r="C10" i="1" l="1"/>
  <c r="B2" i="1"/>
  <c r="B3" i="1" s="1"/>
  <c r="P5" i="1"/>
  <c r="B4" i="1" l="1"/>
  <c r="B11" i="1"/>
  <c r="D10" i="1"/>
  <c r="C11" i="1"/>
  <c r="C1" i="1"/>
  <c r="C2" i="1" s="1"/>
  <c r="C3" i="1" s="1"/>
  <c r="C4" i="1" l="1"/>
  <c r="B5" i="1"/>
  <c r="B6" i="1" s="1"/>
  <c r="D1" i="1"/>
  <c r="D2" i="1" s="1"/>
  <c r="D3" i="1" s="1"/>
  <c r="D16" i="1" s="1"/>
  <c r="E10" i="1"/>
  <c r="D11" i="1"/>
  <c r="E1" i="1" l="1"/>
  <c r="C5" i="1"/>
  <c r="C6" i="1" s="1"/>
  <c r="D4" i="1"/>
  <c r="F10" i="1"/>
  <c r="E11" i="1"/>
  <c r="F1" i="1"/>
  <c r="E2" i="1"/>
  <c r="E3" i="1" s="1"/>
  <c r="E16" i="1" s="1"/>
  <c r="D17" i="1" l="1"/>
  <c r="D18" i="1" s="1"/>
  <c r="D19" i="1" s="1"/>
  <c r="D5" i="1"/>
  <c r="D6" i="1" s="1"/>
  <c r="E4" i="1"/>
  <c r="G1" i="1"/>
  <c r="F2" i="1"/>
  <c r="F3" i="1" s="1"/>
  <c r="F16" i="1" s="1"/>
  <c r="G10" i="1"/>
  <c r="F11" i="1"/>
  <c r="E5" i="1" l="1"/>
  <c r="E6" i="1" s="1"/>
  <c r="E17" i="1"/>
  <c r="E18" i="1" s="1"/>
  <c r="E19" i="1" s="1"/>
  <c r="F4" i="1"/>
  <c r="H10" i="1"/>
  <c r="G11" i="1"/>
  <c r="H1" i="1"/>
  <c r="G2" i="1"/>
  <c r="G3" i="1" s="1"/>
  <c r="G16" i="1" s="1"/>
  <c r="F17" i="1" l="1"/>
  <c r="F18" i="1" s="1"/>
  <c r="F19" i="1" s="1"/>
  <c r="F5" i="1"/>
  <c r="F6" i="1" s="1"/>
  <c r="G4" i="1"/>
  <c r="I1" i="1"/>
  <c r="H2" i="1"/>
  <c r="H3" i="1" s="1"/>
  <c r="H16" i="1" s="1"/>
  <c r="H11" i="1"/>
  <c r="I10" i="1"/>
  <c r="G5" i="1" l="1"/>
  <c r="G6" i="1" s="1"/>
  <c r="G17" i="1"/>
  <c r="G18" i="1" s="1"/>
  <c r="G19" i="1" s="1"/>
  <c r="H4" i="1"/>
  <c r="J10" i="1"/>
  <c r="I11" i="1"/>
  <c r="J1" i="1"/>
  <c r="I2" i="1"/>
  <c r="I3" i="1" s="1"/>
  <c r="I16" i="1" s="1"/>
  <c r="H17" i="1" l="1"/>
  <c r="H18" i="1" s="1"/>
  <c r="H19" i="1" s="1"/>
  <c r="H5" i="1"/>
  <c r="H6" i="1" s="1"/>
  <c r="I4" i="1"/>
  <c r="K1" i="1"/>
  <c r="J2" i="1"/>
  <c r="J3" i="1" s="1"/>
  <c r="J16" i="1" s="1"/>
  <c r="J11" i="1"/>
  <c r="K10" i="1"/>
  <c r="I5" i="1" l="1"/>
  <c r="I6" i="1" s="1"/>
  <c r="I17" i="1"/>
  <c r="I18" i="1" s="1"/>
  <c r="I19" i="1" s="1"/>
  <c r="J4" i="1"/>
  <c r="L10" i="1"/>
  <c r="K11" i="1"/>
  <c r="K2" i="1"/>
  <c r="K3" i="1" s="1"/>
  <c r="K16" i="1" s="1"/>
  <c r="L1" i="1"/>
  <c r="J17" i="1" l="1"/>
  <c r="J18" i="1" s="1"/>
  <c r="J19" i="1" s="1"/>
  <c r="J5" i="1"/>
  <c r="J6" i="1" s="1"/>
  <c r="K4" i="1"/>
  <c r="M1" i="1"/>
  <c r="L2" i="1"/>
  <c r="L3" i="1" s="1"/>
  <c r="L16" i="1" s="1"/>
  <c r="L11" i="1"/>
  <c r="M10" i="1"/>
  <c r="K5" i="1" l="1"/>
  <c r="K6" i="1" s="1"/>
  <c r="K17" i="1"/>
  <c r="K18" i="1" s="1"/>
  <c r="K19" i="1" s="1"/>
  <c r="L4" i="1"/>
  <c r="N10" i="1"/>
  <c r="M11" i="1"/>
  <c r="M2" i="1"/>
  <c r="M3" i="1" s="1"/>
  <c r="M16" i="1" s="1"/>
  <c r="L17" i="1" l="1"/>
  <c r="L18" i="1" s="1"/>
  <c r="L19" i="1" s="1"/>
  <c r="L5" i="1"/>
  <c r="L6" i="1" s="1"/>
  <c r="M4" i="1"/>
  <c r="O10" i="1"/>
  <c r="N11" i="1"/>
  <c r="M5" i="1" l="1"/>
  <c r="M6" i="1" s="1"/>
  <c r="M17" i="1"/>
  <c r="M18" i="1" s="1"/>
  <c r="M19" i="1" s="1"/>
  <c r="P10" i="1"/>
  <c r="O11" i="1"/>
  <c r="P11" i="1" l="1"/>
  <c r="Q10" i="1"/>
  <c r="Q11" i="1" l="1"/>
  <c r="R10" i="1"/>
  <c r="S10" i="1" l="1"/>
  <c r="R11" i="1"/>
  <c r="S11" i="1" l="1"/>
  <c r="T10" i="1"/>
  <c r="T11" i="1" l="1"/>
  <c r="U10" i="1"/>
  <c r="V10" i="1" l="1"/>
  <c r="U11" i="1"/>
  <c r="V11" i="1" l="1"/>
  <c r="W10" i="1"/>
  <c r="X10" i="1" l="1"/>
  <c r="W11" i="1"/>
  <c r="X11" i="1" l="1"/>
  <c r="Y10" i="1"/>
  <c r="Z10" i="1" l="1"/>
  <c r="Y11" i="1"/>
  <c r="Z11" i="1" l="1"/>
  <c r="AA10" i="1"/>
  <c r="AA11" i="1" l="1"/>
  <c r="AB10" i="1"/>
  <c r="AC10" i="1" l="1"/>
  <c r="AB11" i="1"/>
  <c r="AD10" i="1" l="1"/>
  <c r="AC11" i="1"/>
  <c r="AD11" i="1" l="1"/>
  <c r="AE10" i="1"/>
  <c r="AF10" i="1" l="1"/>
  <c r="AE11" i="1"/>
  <c r="AG10" i="1" l="1"/>
  <c r="AF11" i="1"/>
  <c r="AG11" i="1" l="1"/>
</calcChain>
</file>

<file path=xl/sharedStrings.xml><?xml version="1.0" encoding="utf-8"?>
<sst xmlns="http://schemas.openxmlformats.org/spreadsheetml/2006/main" count="12" uniqueCount="10">
  <si>
    <t>Numéro k  de l’échantillon</t>
  </si>
  <si>
    <t>Valeur 
de l’échantillon</t>
  </si>
  <si>
    <t xml:space="preserve">Écriture binaire de </t>
  </si>
  <si>
    <r>
      <t>Valeur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 
arrondie de l’échantillon</t>
    </r>
  </si>
  <si>
    <t>T =</t>
  </si>
  <si>
    <t>T_e =</t>
  </si>
  <si>
    <t>Ampl.</t>
  </si>
  <si>
    <t>N_q =</t>
  </si>
  <si>
    <t>erreur    |q_k - s_k|</t>
  </si>
  <si>
    <t>pourcentage d'erreur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</si>
</sst>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1</xdr:row>
      <xdr:rowOff>7327</xdr:rowOff>
    </xdr:from>
    <xdr:to>
      <xdr:col>0</xdr:col>
      <xdr:colOff>822813</xdr:colOff>
      <xdr:row>2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38" y="329712"/>
          <a:ext cx="6762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439615</xdr:colOff>
      <xdr:row>3</xdr:row>
      <xdr:rowOff>29309</xdr:rowOff>
    </xdr:from>
    <xdr:to>
      <xdr:col>0</xdr:col>
      <xdr:colOff>534866</xdr:colOff>
      <xdr:row>3</xdr:row>
      <xdr:rowOff>215485</xdr:rowOff>
    </xdr:to>
    <xdr:pic>
      <xdr:nvPicPr>
        <xdr:cNvPr id="7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15" y="732694"/>
          <a:ext cx="95251" cy="186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58616</xdr:colOff>
      <xdr:row>4</xdr:row>
      <xdr:rowOff>52021</xdr:rowOff>
    </xdr:from>
    <xdr:to>
      <xdr:col>14</xdr:col>
      <xdr:colOff>373674</xdr:colOff>
      <xdr:row>4</xdr:row>
      <xdr:rowOff>379483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/>
            <xdr:cNvSpPr txBox="1"/>
          </xdr:nvSpPr>
          <xdr:spPr>
            <a:xfrm>
              <a:off x="10169770" y="1143733"/>
              <a:ext cx="315058" cy="3274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400" b="1" i="1">
                            <a:solidFill>
                              <a:srgbClr val="002060"/>
                            </a:solidFill>
                            <a:latin typeface="Cambria Math"/>
                            <a:ea typeface="Cambria Math"/>
                          </a:rPr>
                        </m:ctrlPr>
                      </m:sSubPr>
                      <m:e>
                        <m:r>
                          <a:rPr lang="fr-FR" sz="1400" b="1" i="1">
                            <a:solidFill>
                              <a:srgbClr val="002060"/>
                            </a:solidFill>
                            <a:latin typeface="Cambria Math"/>
                            <a:ea typeface="Cambria Math"/>
                          </a:rPr>
                          <m:t>∆</m:t>
                        </m:r>
                      </m:e>
                      <m:sub>
                        <m:r>
                          <a:rPr lang="fr-FR" sz="1400" b="1" i="1">
                            <a:solidFill>
                              <a:srgbClr val="002060"/>
                            </a:solidFill>
                            <a:latin typeface="Cambria Math"/>
                            <a:ea typeface="Cambria Math"/>
                          </a:rPr>
                          <m:t>𝒒</m:t>
                        </m:r>
                      </m:sub>
                    </m:sSub>
                  </m:oMath>
                </m:oMathPara>
              </a14:m>
              <a:endParaRPr lang="fr-FR" sz="1400" b="1"/>
            </a:p>
          </xdr:txBody>
        </xdr:sp>
      </mc:Choice>
      <mc:Fallback xmlns="">
        <xdr:sp macro="" textlink="">
          <xdr:nvSpPr>
            <xdr:cNvPr id="2" name="ZoneTexte 1"/>
            <xdr:cNvSpPr txBox="1"/>
          </xdr:nvSpPr>
          <xdr:spPr>
            <a:xfrm>
              <a:off x="10169770" y="1143733"/>
              <a:ext cx="315058" cy="3274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fr-FR" sz="1400" b="1" i="0">
                  <a:solidFill>
                    <a:srgbClr val="002060"/>
                  </a:solidFill>
                  <a:latin typeface="Cambria Math"/>
                  <a:ea typeface="Cambria Math"/>
                </a:rPr>
                <a:t>∆</a:t>
              </a:r>
              <a:r>
                <a:rPr lang="fr-FR" sz="1400" b="1" i="0">
                  <a:solidFill>
                    <a:srgbClr val="002060"/>
                  </a:solidFill>
                  <a:latin typeface="Cambria Math" panose="02040503050406030204" pitchFamily="18" charset="0"/>
                  <a:ea typeface="Cambria Math"/>
                </a:rPr>
                <a:t>_</a:t>
              </a:r>
              <a:r>
                <a:rPr lang="fr-FR" sz="1400" b="1" i="0">
                  <a:solidFill>
                    <a:srgbClr val="002060"/>
                  </a:solidFill>
                  <a:latin typeface="Cambria Math"/>
                  <a:ea typeface="Cambria Math"/>
                </a:rPr>
                <a:t>𝒒</a:t>
              </a:r>
              <a:endParaRPr lang="fr-FR" sz="1400" b="1"/>
            </a:p>
          </xdr:txBody>
        </xdr:sp>
      </mc:Fallback>
    </mc:AlternateContent>
    <xdr:clientData/>
  </xdr:twoCellAnchor>
  <xdr:twoCellAnchor>
    <xdr:from>
      <xdr:col>0</xdr:col>
      <xdr:colOff>505558</xdr:colOff>
      <xdr:row>9</xdr:row>
      <xdr:rowOff>168519</xdr:rowOff>
    </xdr:from>
    <xdr:to>
      <xdr:col>0</xdr:col>
      <xdr:colOff>1040424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/>
            <xdr:cNvSpPr txBox="1"/>
          </xdr:nvSpPr>
          <xdr:spPr>
            <a:xfrm>
              <a:off x="505558" y="2530719"/>
              <a:ext cx="534866" cy="288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fr-FR" sz="1100" b="0">
                  <a:solidFill>
                    <a:sysClr val="windowText" lastClr="000000"/>
                  </a:solidFill>
                  <a:ea typeface="Cambria Math"/>
                </a:rPr>
                <a:t>k*</a:t>
              </a:r>
              <a14:m>
                <m:oMath xmlns:m="http://schemas.openxmlformats.org/officeDocument/2006/math">
                  <m:sSub>
                    <m:sSubPr>
                      <m:ctrlP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</m:ctrlPr>
                    </m:sSubPr>
                    <m:e>
                      <m: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  <m:t>∆</m:t>
                      </m:r>
                    </m:e>
                    <m:sub>
                      <m: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  <m:t>𝑞</m:t>
                      </m:r>
                    </m:sub>
                  </m:sSub>
                </m:oMath>
              </a14:m>
              <a:endParaRPr lang="fr-FR" sz="1100" b="0"/>
            </a:p>
          </xdr:txBody>
        </xdr:sp>
      </mc:Choice>
      <mc:Fallback xmlns="">
        <xdr:sp macro="" textlink="">
          <xdr:nvSpPr>
            <xdr:cNvPr id="9" name="ZoneTexte 8"/>
            <xdr:cNvSpPr txBox="1"/>
          </xdr:nvSpPr>
          <xdr:spPr>
            <a:xfrm>
              <a:off x="505558" y="2530719"/>
              <a:ext cx="534866" cy="288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fr-FR" sz="1100" b="0">
                  <a:solidFill>
                    <a:sysClr val="windowText" lastClr="000000"/>
                  </a:solidFill>
                  <a:ea typeface="Cambria Math"/>
                </a:rPr>
                <a:t>k*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/>
                  <a:ea typeface="Cambria Math"/>
                </a:rPr>
                <a:t>∆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/>
                </a:rPr>
                <a:t>_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/>
                  <a:ea typeface="Cambria Math"/>
                </a:rPr>
                <a:t>𝑞</a:t>
              </a:r>
              <a:endParaRPr lang="fr-FR" sz="1100" b="0"/>
            </a:p>
          </xdr:txBody>
        </xdr:sp>
      </mc:Fallback>
    </mc:AlternateContent>
    <xdr:clientData/>
  </xdr:twoCellAnchor>
  <xdr:twoCellAnchor>
    <xdr:from>
      <xdr:col>0</xdr:col>
      <xdr:colOff>483577</xdr:colOff>
      <xdr:row>2</xdr:row>
      <xdr:rowOff>0</xdr:rowOff>
    </xdr:from>
    <xdr:to>
      <xdr:col>0</xdr:col>
      <xdr:colOff>788377</xdr:colOff>
      <xdr:row>2</xdr:row>
      <xdr:rowOff>190500</xdr:rowOff>
    </xdr:to>
    <xdr:pic>
      <xdr:nvPicPr>
        <xdr:cNvPr id="11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577" y="3810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4</xdr:row>
      <xdr:rowOff>80596</xdr:rowOff>
    </xdr:from>
    <xdr:to>
      <xdr:col>0</xdr:col>
      <xdr:colOff>615462</xdr:colOff>
      <xdr:row>5</xdr:row>
      <xdr:rowOff>9703</xdr:rowOff>
    </xdr:to>
    <xdr:pic>
      <xdr:nvPicPr>
        <xdr:cNvPr id="12" name="Imag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72308"/>
          <a:ext cx="424962" cy="31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1143000</xdr:colOff>
      <xdr:row>5</xdr:row>
      <xdr:rowOff>153865</xdr:rowOff>
    </xdr:from>
    <xdr:to>
      <xdr:col>0</xdr:col>
      <xdr:colOff>1266825</xdr:colOff>
      <xdr:row>5</xdr:row>
      <xdr:rowOff>306265</xdr:rowOff>
    </xdr:to>
    <xdr:pic>
      <xdr:nvPicPr>
        <xdr:cNvPr id="13" name="Image 1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26577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754673</xdr:colOff>
      <xdr:row>15</xdr:row>
      <xdr:rowOff>0</xdr:rowOff>
    </xdr:from>
    <xdr:to>
      <xdr:col>0</xdr:col>
      <xdr:colOff>888023</xdr:colOff>
      <xdr:row>16</xdr:row>
      <xdr:rowOff>0</xdr:rowOff>
    </xdr:to>
    <xdr:pic>
      <xdr:nvPicPr>
        <xdr:cNvPr id="14" name="Image 1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673" y="298205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718039</xdr:colOff>
      <xdr:row>16</xdr:row>
      <xdr:rowOff>43961</xdr:rowOff>
    </xdr:from>
    <xdr:to>
      <xdr:col>0</xdr:col>
      <xdr:colOff>857250</xdr:colOff>
      <xdr:row>16</xdr:row>
      <xdr:rowOff>316060</xdr:rowOff>
    </xdr:to>
    <xdr:pic>
      <xdr:nvPicPr>
        <xdr:cNvPr id="16" name="Image 1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039" y="3487615"/>
          <a:ext cx="139211" cy="27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496033</xdr:colOff>
      <xdr:row>12</xdr:row>
      <xdr:rowOff>235194</xdr:rowOff>
    </xdr:from>
    <xdr:to>
      <xdr:col>0</xdr:col>
      <xdr:colOff>1030899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/>
            <xdr:cNvSpPr txBox="1"/>
          </xdr:nvSpPr>
          <xdr:spPr>
            <a:xfrm>
              <a:off x="496033" y="3264144"/>
              <a:ext cx="534866" cy="288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fr-FR" sz="1100" b="0">
                  <a:solidFill>
                    <a:sysClr val="windowText" lastClr="000000"/>
                  </a:solidFill>
                  <a:ea typeface="Cambria Math"/>
                </a:rPr>
                <a:t>k*</a:t>
              </a:r>
              <a14:m>
                <m:oMath xmlns:m="http://schemas.openxmlformats.org/officeDocument/2006/math">
                  <m:sSub>
                    <m:sSubPr>
                      <m:ctrlP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</m:ctrlPr>
                    </m:sSubPr>
                    <m:e>
                      <m: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  <m:t>∆</m:t>
                      </m:r>
                    </m:e>
                    <m:sub>
                      <m:r>
                        <a:rPr lang="fr-FR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Cambria Math"/>
                        </a:rPr>
                        <m:t>𝑞</m:t>
                      </m:r>
                    </m:sub>
                  </m:sSub>
                </m:oMath>
              </a14:m>
              <a:endParaRPr lang="fr-FR" sz="1100" b="0"/>
            </a:p>
          </xdr:txBody>
        </xdr:sp>
      </mc:Choice>
      <mc:Fallback xmlns="">
        <xdr:sp macro="" textlink="">
          <xdr:nvSpPr>
            <xdr:cNvPr id="17" name="ZoneTexte 16"/>
            <xdr:cNvSpPr txBox="1"/>
          </xdr:nvSpPr>
          <xdr:spPr>
            <a:xfrm>
              <a:off x="496033" y="3264144"/>
              <a:ext cx="534866" cy="288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fr-FR" sz="1100" b="0">
                  <a:solidFill>
                    <a:sysClr val="windowText" lastClr="000000"/>
                  </a:solidFill>
                  <a:ea typeface="Cambria Math"/>
                </a:rPr>
                <a:t>k*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/>
                  <a:ea typeface="Cambria Math"/>
                </a:rPr>
                <a:t>∆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/>
                </a:rPr>
                <a:t>_</a:t>
              </a:r>
              <a:r>
                <a:rPr lang="fr-FR" sz="1100" b="0" i="0">
                  <a:solidFill>
                    <a:sysClr val="windowText" lastClr="000000"/>
                  </a:solidFill>
                  <a:latin typeface="Cambria Math"/>
                  <a:ea typeface="Cambria Math"/>
                </a:rPr>
                <a:t>𝑞</a:t>
              </a:r>
              <a:endParaRPr lang="fr-FR" sz="1100" b="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tabSelected="1" zoomScaleNormal="100" workbookViewId="0">
      <selection activeCell="B18" sqref="B18:M19"/>
    </sheetView>
  </sheetViews>
  <sheetFormatPr baseColWidth="10" defaultRowHeight="15" x14ac:dyDescent="0.25"/>
  <cols>
    <col min="1" max="1" width="22.42578125" customWidth="1"/>
    <col min="2" max="17" width="7.7109375" customWidth="1"/>
    <col min="18" max="19" width="6.140625" customWidth="1"/>
  </cols>
  <sheetData>
    <row r="1" spans="1:33" x14ac:dyDescent="0.25">
      <c r="A1" s="1" t="s">
        <v>0</v>
      </c>
      <c r="B1" s="8">
        <v>0</v>
      </c>
      <c r="C1" s="8">
        <f>B1+1</f>
        <v>1</v>
      </c>
      <c r="D1" s="8">
        <f t="shared" ref="D1:K1" si="0">C1+1</f>
        <v>2</v>
      </c>
      <c r="E1" s="8">
        <f t="shared" si="0"/>
        <v>3</v>
      </c>
      <c r="F1" s="8">
        <f t="shared" si="0"/>
        <v>4</v>
      </c>
      <c r="G1" s="8">
        <f t="shared" si="0"/>
        <v>5</v>
      </c>
      <c r="H1" s="8">
        <f t="shared" si="0"/>
        <v>6</v>
      </c>
      <c r="I1" s="8">
        <f t="shared" si="0"/>
        <v>7</v>
      </c>
      <c r="J1" s="8">
        <f t="shared" si="0"/>
        <v>8</v>
      </c>
      <c r="K1" s="8">
        <f t="shared" si="0"/>
        <v>9</v>
      </c>
      <c r="L1" s="8">
        <f t="shared" ref="L1:M1" si="1">K1+1</f>
        <v>10</v>
      </c>
      <c r="M1" s="8">
        <f t="shared" si="1"/>
        <v>11</v>
      </c>
      <c r="N1" s="10"/>
      <c r="O1" s="9" t="s">
        <v>4</v>
      </c>
      <c r="P1" s="9">
        <v>1.2</v>
      </c>
    </row>
    <row r="2" spans="1:33" x14ac:dyDescent="0.25">
      <c r="A2" s="3"/>
      <c r="B2" s="8">
        <f t="shared" ref="B2:M2" si="2">$P$3*B1</f>
        <v>0</v>
      </c>
      <c r="C2" s="8">
        <f t="shared" si="2"/>
        <v>0.1</v>
      </c>
      <c r="D2" s="8">
        <f t="shared" si="2"/>
        <v>0.2</v>
      </c>
      <c r="E2" s="8">
        <f t="shared" si="2"/>
        <v>0.30000000000000004</v>
      </c>
      <c r="F2" s="8">
        <f t="shared" si="2"/>
        <v>0.4</v>
      </c>
      <c r="G2" s="8">
        <f t="shared" si="2"/>
        <v>0.5</v>
      </c>
      <c r="H2" s="8">
        <f t="shared" si="2"/>
        <v>0.60000000000000009</v>
      </c>
      <c r="I2" s="8">
        <f t="shared" si="2"/>
        <v>0.70000000000000007</v>
      </c>
      <c r="J2" s="8">
        <f t="shared" si="2"/>
        <v>0.8</v>
      </c>
      <c r="K2" s="8">
        <f t="shared" si="2"/>
        <v>0.9</v>
      </c>
      <c r="L2" s="8">
        <f t="shared" si="2"/>
        <v>1</v>
      </c>
      <c r="M2" s="8">
        <f t="shared" si="2"/>
        <v>1.1000000000000001</v>
      </c>
      <c r="N2" s="10"/>
      <c r="O2" s="9" t="s">
        <v>6</v>
      </c>
      <c r="P2" s="9">
        <v>19.533000000000001</v>
      </c>
    </row>
    <row r="3" spans="1:33" ht="25.5" x14ac:dyDescent="0.25">
      <c r="A3" s="4" t="s">
        <v>1</v>
      </c>
      <c r="B3" s="12">
        <f>10+7*SIN(4*PI()*B2)+4*SIN(8*PI()*B2)</f>
        <v>10</v>
      </c>
      <c r="C3" s="12">
        <f t="shared" ref="C3:M3" si="3">10+7*SIN(4*PI()*C2)+4*SIN(8*PI()*C2)</f>
        <v>19.008536623235969</v>
      </c>
      <c r="D3" s="12">
        <f t="shared" si="3"/>
        <v>10.310270700866699</v>
      </c>
      <c r="E3" s="12">
        <f t="shared" si="3"/>
        <v>9.6897292991333011</v>
      </c>
      <c r="F3" s="12">
        <f t="shared" si="3"/>
        <v>0.99146337676403329</v>
      </c>
      <c r="G3" s="12">
        <f t="shared" si="3"/>
        <v>9.9999999999999964</v>
      </c>
      <c r="H3" s="12">
        <f t="shared" si="3"/>
        <v>19.008536623235965</v>
      </c>
      <c r="I3" s="12">
        <f t="shared" si="3"/>
        <v>10.310270700866699</v>
      </c>
      <c r="J3" s="12">
        <f t="shared" si="3"/>
        <v>9.6897292991333028</v>
      </c>
      <c r="K3" s="12">
        <f t="shared" si="3"/>
        <v>0.99146337676403373</v>
      </c>
      <c r="L3" s="12">
        <f t="shared" si="3"/>
        <v>9.9999999999999929</v>
      </c>
      <c r="M3" s="12">
        <f t="shared" si="3"/>
        <v>19.008536623235962</v>
      </c>
      <c r="N3" s="10"/>
      <c r="O3" s="9" t="s">
        <v>5</v>
      </c>
      <c r="P3" s="9">
        <v>0.1</v>
      </c>
    </row>
    <row r="4" spans="1:33" ht="30.75" customHeight="1" x14ac:dyDescent="0.25">
      <c r="A4" s="5" t="s">
        <v>3</v>
      </c>
      <c r="B4" s="12">
        <f t="shared" ref="B4:M4" si="4">MROUND(B3,$P$5)</f>
        <v>9.7665000000000006</v>
      </c>
      <c r="C4" s="12">
        <f t="shared" si="4"/>
        <v>18.922593750000001</v>
      </c>
      <c r="D4" s="12">
        <f t="shared" si="4"/>
        <v>10.376906250000001</v>
      </c>
      <c r="E4" s="12">
        <f t="shared" si="4"/>
        <v>9.7665000000000006</v>
      </c>
      <c r="F4" s="12">
        <f t="shared" si="4"/>
        <v>1.2208125000000001</v>
      </c>
      <c r="G4" s="12">
        <f t="shared" si="4"/>
        <v>9.7665000000000006</v>
      </c>
      <c r="H4" s="12">
        <f t="shared" si="4"/>
        <v>18.922593750000001</v>
      </c>
      <c r="I4" s="12">
        <f t="shared" si="4"/>
        <v>10.376906250000001</v>
      </c>
      <c r="J4" s="12">
        <f t="shared" si="4"/>
        <v>9.7665000000000006</v>
      </c>
      <c r="K4" s="12">
        <f t="shared" si="4"/>
        <v>1.2208125000000001</v>
      </c>
      <c r="L4" s="12">
        <f t="shared" si="4"/>
        <v>9.7665000000000006</v>
      </c>
      <c r="M4" s="12">
        <f t="shared" si="4"/>
        <v>18.922593750000001</v>
      </c>
      <c r="N4" s="10"/>
      <c r="O4" s="9" t="s">
        <v>7</v>
      </c>
      <c r="P4" s="9">
        <v>32</v>
      </c>
    </row>
    <row r="5" spans="1:33" ht="30" customHeight="1" x14ac:dyDescent="0.25">
      <c r="A5" s="6"/>
      <c r="B5" s="8">
        <f t="shared" ref="B5:M5" si="5">B4/$P$5</f>
        <v>16</v>
      </c>
      <c r="C5" s="8">
        <f t="shared" si="5"/>
        <v>31</v>
      </c>
      <c r="D5" s="8">
        <f t="shared" si="5"/>
        <v>17</v>
      </c>
      <c r="E5" s="8">
        <f t="shared" si="5"/>
        <v>16</v>
      </c>
      <c r="F5" s="8">
        <f t="shared" si="5"/>
        <v>2</v>
      </c>
      <c r="G5" s="8">
        <f t="shared" si="5"/>
        <v>16</v>
      </c>
      <c r="H5" s="8">
        <f t="shared" si="5"/>
        <v>31</v>
      </c>
      <c r="I5" s="8">
        <f t="shared" si="5"/>
        <v>17</v>
      </c>
      <c r="J5" s="8">
        <f t="shared" si="5"/>
        <v>16</v>
      </c>
      <c r="K5" s="8">
        <f t="shared" si="5"/>
        <v>2</v>
      </c>
      <c r="L5" s="8">
        <f t="shared" si="5"/>
        <v>16</v>
      </c>
      <c r="M5" s="8">
        <f t="shared" si="5"/>
        <v>31</v>
      </c>
      <c r="N5" s="10"/>
      <c r="P5" s="9">
        <f>$P$2/$P$4</f>
        <v>0.61040625000000004</v>
      </c>
    </row>
    <row r="6" spans="1:33" ht="24.75" customHeight="1" x14ac:dyDescent="0.25">
      <c r="A6" s="2" t="s">
        <v>2</v>
      </c>
      <c r="B6" s="8" t="str">
        <f>DEC2BIN(B5)</f>
        <v>10000</v>
      </c>
      <c r="C6" s="8" t="str">
        <f t="shared" ref="C6:M6" si="6">DEC2BIN(C5)</f>
        <v>11111</v>
      </c>
      <c r="D6" s="8" t="str">
        <f t="shared" si="6"/>
        <v>10001</v>
      </c>
      <c r="E6" s="8" t="str">
        <f t="shared" si="6"/>
        <v>10000</v>
      </c>
      <c r="F6" s="8" t="str">
        <f t="shared" si="6"/>
        <v>10</v>
      </c>
      <c r="G6" s="8" t="str">
        <f t="shared" si="6"/>
        <v>10000</v>
      </c>
      <c r="H6" s="8" t="str">
        <f t="shared" si="6"/>
        <v>11111</v>
      </c>
      <c r="I6" s="8" t="str">
        <f t="shared" si="6"/>
        <v>10001</v>
      </c>
      <c r="J6" s="8" t="str">
        <f t="shared" si="6"/>
        <v>10000</v>
      </c>
      <c r="K6" s="8" t="str">
        <f t="shared" si="6"/>
        <v>10</v>
      </c>
      <c r="L6" s="8" t="str">
        <f t="shared" si="6"/>
        <v>10000</v>
      </c>
      <c r="M6" s="8" t="str">
        <f t="shared" si="6"/>
        <v>11111</v>
      </c>
      <c r="N6" s="10"/>
      <c r="O6" s="10"/>
      <c r="P6" s="10"/>
      <c r="Q6" s="10"/>
    </row>
    <row r="10" spans="1:33" x14ac:dyDescent="0.25">
      <c r="A10" s="1" t="s">
        <v>0</v>
      </c>
      <c r="B10" s="7">
        <v>0</v>
      </c>
      <c r="C10" s="7">
        <f>B10+1</f>
        <v>1</v>
      </c>
      <c r="D10" s="7">
        <f t="shared" ref="D10:Q10" si="7">C10+1</f>
        <v>2</v>
      </c>
      <c r="E10" s="7">
        <f t="shared" si="7"/>
        <v>3</v>
      </c>
      <c r="F10" s="7">
        <f t="shared" si="7"/>
        <v>4</v>
      </c>
      <c r="G10" s="7">
        <f t="shared" si="7"/>
        <v>5</v>
      </c>
      <c r="H10" s="7">
        <f t="shared" si="7"/>
        <v>6</v>
      </c>
      <c r="I10" s="7">
        <f t="shared" si="7"/>
        <v>7</v>
      </c>
      <c r="J10" s="7">
        <f t="shared" si="7"/>
        <v>8</v>
      </c>
      <c r="K10" s="7">
        <f t="shared" si="7"/>
        <v>9</v>
      </c>
      <c r="L10" s="7">
        <f t="shared" si="7"/>
        <v>10</v>
      </c>
      <c r="M10" s="7">
        <f t="shared" si="7"/>
        <v>11</v>
      </c>
      <c r="N10" s="7">
        <f t="shared" si="7"/>
        <v>12</v>
      </c>
      <c r="O10" s="7">
        <f t="shared" si="7"/>
        <v>13</v>
      </c>
      <c r="P10" s="7">
        <f t="shared" si="7"/>
        <v>14</v>
      </c>
      <c r="Q10" s="7">
        <f t="shared" si="7"/>
        <v>15</v>
      </c>
      <c r="R10" s="7">
        <f t="shared" ref="R10:AB10" si="8">Q10+1</f>
        <v>16</v>
      </c>
      <c r="S10" s="7">
        <f t="shared" si="8"/>
        <v>17</v>
      </c>
      <c r="T10" s="7">
        <f t="shared" si="8"/>
        <v>18</v>
      </c>
      <c r="U10" s="7">
        <f t="shared" si="8"/>
        <v>19</v>
      </c>
      <c r="V10" s="7">
        <f t="shared" si="8"/>
        <v>20</v>
      </c>
      <c r="W10" s="7">
        <f t="shared" si="8"/>
        <v>21</v>
      </c>
      <c r="X10" s="7">
        <f t="shared" si="8"/>
        <v>22</v>
      </c>
      <c r="Y10" s="7">
        <f t="shared" si="8"/>
        <v>23</v>
      </c>
      <c r="Z10" s="7">
        <f t="shared" si="8"/>
        <v>24</v>
      </c>
      <c r="AA10" s="7">
        <f t="shared" si="8"/>
        <v>25</v>
      </c>
      <c r="AB10" s="7">
        <f t="shared" si="8"/>
        <v>26</v>
      </c>
      <c r="AC10" s="7">
        <f t="shared" ref="AC10:AG10" si="9">AB10+1</f>
        <v>27</v>
      </c>
      <c r="AD10" s="7">
        <f t="shared" si="9"/>
        <v>28</v>
      </c>
      <c r="AE10" s="7">
        <f t="shared" si="9"/>
        <v>29</v>
      </c>
      <c r="AF10" s="7">
        <f t="shared" si="9"/>
        <v>30</v>
      </c>
      <c r="AG10" s="7">
        <f t="shared" si="9"/>
        <v>31</v>
      </c>
    </row>
    <row r="11" spans="1:33" ht="18.75" customHeight="1" x14ac:dyDescent="0.25">
      <c r="A11" s="3"/>
      <c r="B11" s="11">
        <f t="shared" ref="B11:AG11" si="10">B10*$P$5</f>
        <v>0</v>
      </c>
      <c r="C11" s="11">
        <f t="shared" si="10"/>
        <v>0.61040625000000004</v>
      </c>
      <c r="D11" s="11">
        <f t="shared" si="10"/>
        <v>1.2208125000000001</v>
      </c>
      <c r="E11" s="11">
        <f t="shared" si="10"/>
        <v>1.8312187500000001</v>
      </c>
      <c r="F11" s="11">
        <f t="shared" si="10"/>
        <v>2.4416250000000002</v>
      </c>
      <c r="G11" s="11">
        <f t="shared" si="10"/>
        <v>3.0520312500000002</v>
      </c>
      <c r="H11" s="11">
        <f t="shared" si="10"/>
        <v>3.6624375000000002</v>
      </c>
      <c r="I11" s="11">
        <f t="shared" si="10"/>
        <v>4.2728437499999998</v>
      </c>
      <c r="J11" s="11">
        <f t="shared" si="10"/>
        <v>4.8832500000000003</v>
      </c>
      <c r="K11" s="11">
        <f t="shared" si="10"/>
        <v>5.4936562500000008</v>
      </c>
      <c r="L11" s="11">
        <f t="shared" si="10"/>
        <v>6.1040625000000004</v>
      </c>
      <c r="M11" s="11">
        <f t="shared" si="10"/>
        <v>6.71446875</v>
      </c>
      <c r="N11" s="11">
        <f t="shared" si="10"/>
        <v>7.3248750000000005</v>
      </c>
      <c r="O11" s="11">
        <f t="shared" si="10"/>
        <v>7.935281250000001</v>
      </c>
      <c r="P11" s="11">
        <f t="shared" si="10"/>
        <v>8.5456874999999997</v>
      </c>
      <c r="Q11" s="11">
        <f t="shared" si="10"/>
        <v>9.1560937500000001</v>
      </c>
      <c r="R11" s="11">
        <f t="shared" si="10"/>
        <v>9.7665000000000006</v>
      </c>
      <c r="S11" s="11">
        <f t="shared" si="10"/>
        <v>10.376906250000001</v>
      </c>
      <c r="T11" s="11">
        <f t="shared" si="10"/>
        <v>10.987312500000002</v>
      </c>
      <c r="U11" s="11">
        <f t="shared" si="10"/>
        <v>11.59771875</v>
      </c>
      <c r="V11" s="11">
        <f t="shared" si="10"/>
        <v>12.208125000000001</v>
      </c>
      <c r="W11" s="11">
        <f t="shared" si="10"/>
        <v>12.818531250000001</v>
      </c>
      <c r="X11" s="11">
        <f t="shared" si="10"/>
        <v>13.4289375</v>
      </c>
      <c r="Y11" s="11">
        <f t="shared" si="10"/>
        <v>14.03934375</v>
      </c>
      <c r="Z11" s="11">
        <f t="shared" si="10"/>
        <v>14.649750000000001</v>
      </c>
      <c r="AA11" s="11">
        <f t="shared" si="10"/>
        <v>15.260156250000001</v>
      </c>
      <c r="AB11" s="11">
        <f t="shared" si="10"/>
        <v>15.870562500000002</v>
      </c>
      <c r="AC11" s="11">
        <f t="shared" si="10"/>
        <v>16.480968750000002</v>
      </c>
      <c r="AD11" s="11">
        <f t="shared" si="10"/>
        <v>17.091374999999999</v>
      </c>
      <c r="AE11" s="11">
        <f t="shared" si="10"/>
        <v>17.70178125</v>
      </c>
      <c r="AF11" s="11">
        <f t="shared" si="10"/>
        <v>18.3121875</v>
      </c>
      <c r="AG11" s="11">
        <f t="shared" si="10"/>
        <v>18.922593750000001</v>
      </c>
    </row>
    <row r="12" spans="1:33" ht="18.75" customHeight="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8.75" customHeight="1" x14ac:dyDescent="0.25">
      <c r="A13" s="1" t="s">
        <v>0</v>
      </c>
      <c r="B13" s="11">
        <v>15</v>
      </c>
      <c r="C13" s="11">
        <v>16</v>
      </c>
      <c r="D13" s="11">
        <v>17</v>
      </c>
      <c r="E13" s="11">
        <v>18</v>
      </c>
      <c r="F13" s="11">
        <v>19</v>
      </c>
      <c r="G13" s="11">
        <v>20</v>
      </c>
      <c r="H13" s="11">
        <v>21</v>
      </c>
      <c r="I13" s="11">
        <v>22</v>
      </c>
      <c r="J13" s="11">
        <v>23</v>
      </c>
      <c r="K13" s="11">
        <v>24</v>
      </c>
      <c r="L13" s="11">
        <v>25</v>
      </c>
      <c r="M13" s="11">
        <v>26</v>
      </c>
      <c r="N13" s="11">
        <v>27</v>
      </c>
      <c r="O13" s="11">
        <v>28</v>
      </c>
      <c r="P13" s="11">
        <v>29</v>
      </c>
      <c r="Q13" s="11">
        <v>30</v>
      </c>
      <c r="R13" s="11">
        <v>31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ht="18.75" customHeight="1" x14ac:dyDescent="0.25">
      <c r="A14" s="3"/>
      <c r="B14" s="11">
        <v>9.1560937500000001</v>
      </c>
      <c r="C14" s="11">
        <v>9.7665000000000006</v>
      </c>
      <c r="D14" s="11">
        <v>10.376906250000001</v>
      </c>
      <c r="E14" s="11">
        <v>10.987312500000002</v>
      </c>
      <c r="F14" s="11">
        <v>11.59771875</v>
      </c>
      <c r="G14" s="11">
        <v>12.208125000000001</v>
      </c>
      <c r="H14" s="11">
        <v>12.818531250000001</v>
      </c>
      <c r="I14" s="11">
        <v>13.4289375</v>
      </c>
      <c r="J14" s="11">
        <v>14.03934375</v>
      </c>
      <c r="K14" s="11">
        <v>14.649750000000001</v>
      </c>
      <c r="L14" s="11">
        <v>15.260156250000001</v>
      </c>
      <c r="M14" s="11">
        <v>15.870562500000002</v>
      </c>
      <c r="N14" s="11">
        <v>16.480968750000002</v>
      </c>
      <c r="O14" s="11">
        <v>17.091374999999999</v>
      </c>
      <c r="P14" s="11">
        <v>17.70178125</v>
      </c>
      <c r="Q14" s="11">
        <v>18.3121875</v>
      </c>
      <c r="R14" s="11">
        <v>18.922593750000001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33.75" customHeight="1" x14ac:dyDescent="0.25"/>
    <row r="16" spans="1:33" ht="17.25" customHeight="1" x14ac:dyDescent="0.25">
      <c r="A16" s="13"/>
      <c r="B16" s="14">
        <f>B3</f>
        <v>10</v>
      </c>
      <c r="C16" s="14">
        <f t="shared" ref="C16:M16" si="11">C3</f>
        <v>19.008536623235969</v>
      </c>
      <c r="D16" s="14">
        <f t="shared" si="11"/>
        <v>10.310270700866699</v>
      </c>
      <c r="E16" s="14">
        <f t="shared" si="11"/>
        <v>9.6897292991333011</v>
      </c>
      <c r="F16" s="14">
        <f t="shared" si="11"/>
        <v>0.99146337676403329</v>
      </c>
      <c r="G16" s="14">
        <f t="shared" si="11"/>
        <v>9.9999999999999964</v>
      </c>
      <c r="H16" s="14">
        <f t="shared" si="11"/>
        <v>19.008536623235965</v>
      </c>
      <c r="I16" s="14">
        <f t="shared" si="11"/>
        <v>10.310270700866699</v>
      </c>
      <c r="J16" s="14">
        <f t="shared" si="11"/>
        <v>9.6897292991333028</v>
      </c>
      <c r="K16" s="14">
        <f t="shared" si="11"/>
        <v>0.99146337676403373</v>
      </c>
      <c r="L16" s="14">
        <f t="shared" si="11"/>
        <v>9.9999999999999929</v>
      </c>
      <c r="M16" s="14">
        <f t="shared" si="11"/>
        <v>19.008536623235962</v>
      </c>
    </row>
    <row r="17" spans="1:13" ht="27" customHeight="1" x14ac:dyDescent="0.25">
      <c r="A17" s="13"/>
      <c r="B17" s="14">
        <f>B4</f>
        <v>9.7665000000000006</v>
      </c>
      <c r="C17" s="14">
        <f t="shared" ref="C17:M17" si="12">C4</f>
        <v>18.922593750000001</v>
      </c>
      <c r="D17" s="14">
        <f t="shared" si="12"/>
        <v>10.376906250000001</v>
      </c>
      <c r="E17" s="14">
        <f t="shared" si="12"/>
        <v>9.7665000000000006</v>
      </c>
      <c r="F17" s="14">
        <f t="shared" si="12"/>
        <v>1.2208125000000001</v>
      </c>
      <c r="G17" s="14">
        <f t="shared" si="12"/>
        <v>9.7665000000000006</v>
      </c>
      <c r="H17" s="14">
        <f t="shared" si="12"/>
        <v>18.922593750000001</v>
      </c>
      <c r="I17" s="14">
        <f t="shared" si="12"/>
        <v>10.376906250000001</v>
      </c>
      <c r="J17" s="14">
        <f t="shared" si="12"/>
        <v>9.7665000000000006</v>
      </c>
      <c r="K17" s="14">
        <f t="shared" si="12"/>
        <v>1.2208125000000001</v>
      </c>
      <c r="L17" s="14">
        <f t="shared" si="12"/>
        <v>9.7665000000000006</v>
      </c>
      <c r="M17" s="14">
        <f t="shared" si="12"/>
        <v>18.922593750000001</v>
      </c>
    </row>
    <row r="18" spans="1:13" ht="24" customHeight="1" x14ac:dyDescent="0.25">
      <c r="A18" s="13" t="s">
        <v>8</v>
      </c>
      <c r="B18" s="13">
        <f>ABS(B17-B16)</f>
        <v>0.23349999999999937</v>
      </c>
      <c r="C18" s="13">
        <f t="shared" ref="C18:M18" si="13">ABS(C17-C16)</f>
        <v>8.5942873235968165E-2</v>
      </c>
      <c r="D18" s="13">
        <f t="shared" si="13"/>
        <v>6.6635549133302163E-2</v>
      </c>
      <c r="E18" s="13">
        <f t="shared" si="13"/>
        <v>7.677070086669957E-2</v>
      </c>
      <c r="F18" s="13">
        <f t="shared" si="13"/>
        <v>0.22934912323596679</v>
      </c>
      <c r="G18" s="13">
        <f t="shared" si="13"/>
        <v>0.23349999999999582</v>
      </c>
      <c r="H18" s="13">
        <f t="shared" si="13"/>
        <v>8.5942873235964612E-2</v>
      </c>
      <c r="I18" s="13">
        <f t="shared" si="13"/>
        <v>6.6635549133302163E-2</v>
      </c>
      <c r="J18" s="13">
        <f t="shared" si="13"/>
        <v>7.6770700866697794E-2</v>
      </c>
      <c r="K18" s="13">
        <f t="shared" si="13"/>
        <v>0.22934912323596635</v>
      </c>
      <c r="L18" s="13">
        <f t="shared" si="13"/>
        <v>0.23349999999999227</v>
      </c>
      <c r="M18" s="13">
        <f t="shared" si="13"/>
        <v>8.5942873235961059E-2</v>
      </c>
    </row>
    <row r="19" spans="1:13" ht="20.25" customHeight="1" x14ac:dyDescent="0.25">
      <c r="A19" s="15" t="s">
        <v>9</v>
      </c>
      <c r="B19" s="16">
        <f>B18/B16</f>
        <v>2.3349999999999937E-2</v>
      </c>
      <c r="C19" s="16">
        <f t="shared" ref="C19:M19" si="14">C18/C16</f>
        <v>4.5212777258672237E-3</v>
      </c>
      <c r="D19" s="16">
        <f t="shared" si="14"/>
        <v>6.4630261480623074E-3</v>
      </c>
      <c r="E19" s="16">
        <f t="shared" si="14"/>
        <v>7.9228942828739636E-3</v>
      </c>
      <c r="F19" s="16">
        <f t="shared" si="14"/>
        <v>0.2313238477698723</v>
      </c>
      <c r="G19" s="16">
        <f t="shared" si="14"/>
        <v>2.334999999999959E-2</v>
      </c>
      <c r="H19" s="16">
        <f t="shared" si="14"/>
        <v>4.5212777258670381E-3</v>
      </c>
      <c r="I19" s="16">
        <f t="shared" si="14"/>
        <v>6.4630261480623074E-3</v>
      </c>
      <c r="J19" s="16">
        <f t="shared" si="14"/>
        <v>7.9228942828737797E-3</v>
      </c>
      <c r="K19" s="16">
        <f t="shared" si="14"/>
        <v>0.23132384776987175</v>
      </c>
      <c r="L19" s="16">
        <f t="shared" si="14"/>
        <v>2.3349999999999243E-2</v>
      </c>
      <c r="M19" s="16">
        <f t="shared" si="14"/>
        <v>4.5212777258668516E-3</v>
      </c>
    </row>
  </sheetData>
  <pageMargins left="0.31496062992125984" right="0.31496062992125984" top="0.74803149606299213" bottom="0.74803149606299213" header="0.31496062992125984" footer="0.31496062992125984"/>
  <pageSetup paperSize="9" orientation="landscape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signal_somme_deux_sinus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Picart</dc:creator>
  <cp:lastModifiedBy>Philippe Picart</cp:lastModifiedBy>
  <cp:lastPrinted>2019-10-03T11:25:06Z</cp:lastPrinted>
  <dcterms:created xsi:type="dcterms:W3CDTF">2018-11-16T08:44:21Z</dcterms:created>
  <dcterms:modified xsi:type="dcterms:W3CDTF">2019-10-04T06:31:53Z</dcterms:modified>
</cp:coreProperties>
</file>