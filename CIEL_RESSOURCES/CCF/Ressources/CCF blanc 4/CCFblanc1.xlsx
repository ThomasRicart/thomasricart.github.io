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LYCEE\- BTS SNIR1\"/>
    </mc:Choice>
  </mc:AlternateContent>
  <xr:revisionPtr revIDLastSave="0" documentId="13_ncr:1_{78C623F8-B145-4A8D-847D-89EA0C49D530}" xr6:coauthVersionLast="46" xr6:coauthVersionMax="46" xr10:uidLastSave="{00000000-0000-0000-0000-000000000000}"/>
  <bookViews>
    <workbookView xWindow="-120" yWindow="330" windowWidth="19440" windowHeight="11790" tabRatio="500" xr2:uid="{00000000-000D-0000-FFFF-FFFF00000000}"/>
  </bookViews>
  <sheets>
    <sheet name="Feuille2" sheetId="1" r:id="rId1"/>
    <sheet name="Feuil1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" i="1" l="1"/>
  <c r="I26" i="1"/>
  <c r="I25" i="1"/>
  <c r="I24" i="1"/>
  <c r="I23" i="1"/>
  <c r="I22" i="1"/>
  <c r="I21" i="1"/>
  <c r="I20" i="1"/>
  <c r="I19" i="1"/>
  <c r="I18" i="1"/>
  <c r="I17" i="1"/>
  <c r="I16" i="1"/>
  <c r="I15" i="1"/>
  <c r="I13" i="1"/>
  <c r="I12" i="1"/>
  <c r="I11" i="1"/>
  <c r="I10" i="1"/>
  <c r="I9" i="1"/>
  <c r="I8" i="1"/>
  <c r="I7" i="1"/>
  <c r="I6" i="1"/>
  <c r="I4" i="1"/>
  <c r="I2" i="1"/>
  <c r="AN29" i="2"/>
  <c r="AA29" i="2"/>
  <c r="AH29" i="2" s="1"/>
  <c r="X29" i="2"/>
  <c r="AE29" i="2" s="1"/>
  <c r="U29" i="2"/>
  <c r="P29" i="2"/>
  <c r="N29" i="2"/>
  <c r="L29" i="2"/>
  <c r="O29" i="2" s="1"/>
  <c r="I29" i="2"/>
  <c r="AN28" i="2"/>
  <c r="AE28" i="2"/>
  <c r="AF28" i="2" s="1"/>
  <c r="AA28" i="2"/>
  <c r="AH28" i="2" s="1"/>
  <c r="X28" i="2"/>
  <c r="U28" i="2"/>
  <c r="P28" i="2"/>
  <c r="O28" i="2"/>
  <c r="Q28" i="2" s="1"/>
  <c r="L28" i="2"/>
  <c r="N28" i="2" s="1"/>
  <c r="I28" i="2"/>
  <c r="AN27" i="2"/>
  <c r="AA27" i="2"/>
  <c r="X27" i="2"/>
  <c r="AE27" i="2" s="1"/>
  <c r="AI27" i="2" s="1"/>
  <c r="U27" i="2"/>
  <c r="P27" i="2"/>
  <c r="O27" i="2"/>
  <c r="Q27" i="2" s="1"/>
  <c r="N27" i="2"/>
  <c r="L27" i="2"/>
  <c r="I27" i="2"/>
  <c r="AN26" i="2"/>
  <c r="AE26" i="2"/>
  <c r="AI26" i="2" s="1"/>
  <c r="AA26" i="2"/>
  <c r="AF26" i="2" s="1"/>
  <c r="X26" i="2"/>
  <c r="U26" i="2"/>
  <c r="P26" i="2"/>
  <c r="L26" i="2"/>
  <c r="I26" i="2"/>
  <c r="AN25" i="2"/>
  <c r="AA25" i="2"/>
  <c r="AH25" i="2" s="1"/>
  <c r="X25" i="2"/>
  <c r="AE25" i="2" s="1"/>
  <c r="AI25" i="2" s="1"/>
  <c r="U25" i="2"/>
  <c r="P25" i="2"/>
  <c r="N25" i="2"/>
  <c r="L25" i="2"/>
  <c r="O25" i="2" s="1"/>
  <c r="I25" i="2"/>
  <c r="AN24" i="2"/>
  <c r="AE24" i="2"/>
  <c r="AF24" i="2" s="1"/>
  <c r="AA24" i="2"/>
  <c r="AH24" i="2" s="1"/>
  <c r="X24" i="2"/>
  <c r="V24" i="2"/>
  <c r="U24" i="2"/>
  <c r="P24" i="2"/>
  <c r="O24" i="2"/>
  <c r="Q24" i="2" s="1"/>
  <c r="L24" i="2"/>
  <c r="N24" i="2" s="1"/>
  <c r="I24" i="2"/>
  <c r="AN23" i="2"/>
  <c r="AA23" i="2"/>
  <c r="AH23" i="2" s="1"/>
  <c r="X23" i="2"/>
  <c r="AE23" i="2" s="1"/>
  <c r="AI23" i="2" s="1"/>
  <c r="U23" i="2"/>
  <c r="P23" i="2"/>
  <c r="O23" i="2"/>
  <c r="Q23" i="2" s="1"/>
  <c r="N23" i="2"/>
  <c r="L23" i="2"/>
  <c r="I23" i="2"/>
  <c r="AN22" i="2"/>
  <c r="AE22" i="2"/>
  <c r="AI22" i="2" s="1"/>
  <c r="AA22" i="2"/>
  <c r="X22" i="2"/>
  <c r="U22" i="2"/>
  <c r="P22" i="2"/>
  <c r="O22" i="2"/>
  <c r="Q22" i="2" s="1"/>
  <c r="L22" i="2"/>
  <c r="N22" i="2" s="1"/>
  <c r="I22" i="2"/>
  <c r="AN21" i="2"/>
  <c r="AA21" i="2"/>
  <c r="AH21" i="2" s="1"/>
  <c r="X21" i="2"/>
  <c r="AE21" i="2" s="1"/>
  <c r="AI21" i="2" s="1"/>
  <c r="U21" i="2"/>
  <c r="P21" i="2"/>
  <c r="N21" i="2"/>
  <c r="L21" i="2"/>
  <c r="O21" i="2" s="1"/>
  <c r="I21" i="2"/>
  <c r="AN20" i="2"/>
  <c r="AI20" i="2"/>
  <c r="AE20" i="2"/>
  <c r="AF20" i="2" s="1"/>
  <c r="AA20" i="2"/>
  <c r="AH20" i="2" s="1"/>
  <c r="X20" i="2"/>
  <c r="U20" i="2"/>
  <c r="P20" i="2"/>
  <c r="L20" i="2"/>
  <c r="N20" i="2" s="1"/>
  <c r="I20" i="2"/>
  <c r="AN19" i="2"/>
  <c r="AH19" i="2"/>
  <c r="AF19" i="2"/>
  <c r="AA19" i="2"/>
  <c r="X19" i="2"/>
  <c r="AE19" i="2" s="1"/>
  <c r="AI19" i="2" s="1"/>
  <c r="U19" i="2"/>
  <c r="P19" i="2"/>
  <c r="O19" i="2"/>
  <c r="N19" i="2"/>
  <c r="L19" i="2"/>
  <c r="I19" i="2"/>
  <c r="AN18" i="2"/>
  <c r="AI18" i="2"/>
  <c r="AE18" i="2"/>
  <c r="AA18" i="2"/>
  <c r="AF18" i="2" s="1"/>
  <c r="X18" i="2"/>
  <c r="U18" i="2"/>
  <c r="P18" i="2"/>
  <c r="L18" i="2"/>
  <c r="N18" i="2" s="1"/>
  <c r="I18" i="2"/>
  <c r="AN17" i="2"/>
  <c r="AA17" i="2"/>
  <c r="AH17" i="2" s="1"/>
  <c r="X17" i="2"/>
  <c r="AE17" i="2" s="1"/>
  <c r="AI17" i="2" s="1"/>
  <c r="U17" i="2"/>
  <c r="P17" i="2"/>
  <c r="N17" i="2"/>
  <c r="L17" i="2"/>
  <c r="O17" i="2" s="1"/>
  <c r="I17" i="2"/>
  <c r="AN16" i="2"/>
  <c r="AN15" i="2"/>
  <c r="AH15" i="2"/>
  <c r="AF15" i="2"/>
  <c r="AA15" i="2"/>
  <c r="X15" i="2"/>
  <c r="AE15" i="2" s="1"/>
  <c r="AI15" i="2" s="1"/>
  <c r="U15" i="2"/>
  <c r="P15" i="2"/>
  <c r="N15" i="2"/>
  <c r="L15" i="2"/>
  <c r="O15" i="2" s="1"/>
  <c r="I15" i="2"/>
  <c r="AN14" i="2"/>
  <c r="AE14" i="2"/>
  <c r="AF14" i="2" s="1"/>
  <c r="AA14" i="2"/>
  <c r="AH14" i="2" s="1"/>
  <c r="X14" i="2"/>
  <c r="U14" i="2"/>
  <c r="P14" i="2"/>
  <c r="O14" i="2"/>
  <c r="Q14" i="2" s="1"/>
  <c r="L14" i="2"/>
  <c r="N14" i="2" s="1"/>
  <c r="I14" i="2"/>
  <c r="AN13" i="2"/>
  <c r="AA13" i="2"/>
  <c r="AH13" i="2" s="1"/>
  <c r="X13" i="2"/>
  <c r="AE13" i="2" s="1"/>
  <c r="AI13" i="2" s="1"/>
  <c r="U13" i="2"/>
  <c r="P13" i="2"/>
  <c r="O13" i="2"/>
  <c r="Q13" i="2" s="1"/>
  <c r="N13" i="2"/>
  <c r="L13" i="2"/>
  <c r="I13" i="2"/>
  <c r="AN12" i="2"/>
  <c r="AE12" i="2"/>
  <c r="AI12" i="2" s="1"/>
  <c r="AA12" i="2"/>
  <c r="AF12" i="2" s="1"/>
  <c r="X12" i="2"/>
  <c r="U12" i="2"/>
  <c r="P12" i="2"/>
  <c r="L12" i="2"/>
  <c r="N12" i="2" s="1"/>
  <c r="I12" i="2"/>
  <c r="AN11" i="2"/>
  <c r="AH11" i="2"/>
  <c r="AA11" i="2"/>
  <c r="AF11" i="2" s="1"/>
  <c r="X11" i="2"/>
  <c r="AE11" i="2" s="1"/>
  <c r="AI11" i="2" s="1"/>
  <c r="U11" i="2"/>
  <c r="P11" i="2"/>
  <c r="N11" i="2"/>
  <c r="L11" i="2"/>
  <c r="O11" i="2" s="1"/>
  <c r="I11" i="2"/>
  <c r="AN10" i="2"/>
  <c r="AI10" i="2"/>
  <c r="AE10" i="2"/>
  <c r="AF10" i="2" s="1"/>
  <c r="AA10" i="2"/>
  <c r="AH10" i="2" s="1"/>
  <c r="X10" i="2"/>
  <c r="U10" i="2"/>
  <c r="P10" i="2"/>
  <c r="L10" i="2"/>
  <c r="N10" i="2" s="1"/>
  <c r="I10" i="2"/>
  <c r="AN9" i="2"/>
  <c r="AA9" i="2"/>
  <c r="AH9" i="2" s="1"/>
  <c r="X9" i="2"/>
  <c r="AE9" i="2" s="1"/>
  <c r="AI9" i="2" s="1"/>
  <c r="U9" i="2"/>
  <c r="P9" i="2"/>
  <c r="O9" i="2"/>
  <c r="Q9" i="2" s="1"/>
  <c r="N9" i="2"/>
  <c r="L9" i="2"/>
  <c r="I9" i="2"/>
  <c r="AN8" i="2"/>
  <c r="AE8" i="2"/>
  <c r="AI8" i="2" s="1"/>
  <c r="AA8" i="2"/>
  <c r="X8" i="2"/>
  <c r="U8" i="2"/>
  <c r="P8" i="2"/>
  <c r="O8" i="2"/>
  <c r="Q8" i="2" s="1"/>
  <c r="L8" i="2"/>
  <c r="N8" i="2" s="1"/>
  <c r="I8" i="2"/>
  <c r="AN7" i="2"/>
  <c r="AN6" i="2"/>
  <c r="AE6" i="2"/>
  <c r="AI6" i="2" s="1"/>
  <c r="AA6" i="2"/>
  <c r="AF6" i="2" s="1"/>
  <c r="X6" i="2"/>
  <c r="U6" i="2"/>
  <c r="P6" i="2"/>
  <c r="L6" i="2"/>
  <c r="N6" i="2" s="1"/>
  <c r="I6" i="2"/>
  <c r="AN5" i="2"/>
  <c r="AY4" i="2"/>
  <c r="AN4" i="2"/>
  <c r="AA4" i="2"/>
  <c r="AH4" i="2" s="1"/>
  <c r="X4" i="2"/>
  <c r="AE4" i="2" s="1"/>
  <c r="AI4" i="2" s="1"/>
  <c r="U4" i="2"/>
  <c r="P4" i="2"/>
  <c r="O4" i="2"/>
  <c r="Q4" i="2" s="1"/>
  <c r="N4" i="2"/>
  <c r="L4" i="2"/>
  <c r="I4" i="2"/>
  <c r="I31" i="2" s="1"/>
  <c r="V8" i="2" l="1"/>
  <c r="V14" i="2"/>
  <c r="V21" i="2"/>
  <c r="Q21" i="2"/>
  <c r="V22" i="2"/>
  <c r="AF4" i="2"/>
  <c r="O6" i="2"/>
  <c r="AF9" i="2"/>
  <c r="V11" i="2"/>
  <c r="Q11" i="2"/>
  <c r="O12" i="2"/>
  <c r="AF17" i="2"/>
  <c r="AF23" i="2"/>
  <c r="AG24" i="2"/>
  <c r="Y24" i="2"/>
  <c r="AI24" i="2"/>
  <c r="V25" i="2"/>
  <c r="Q25" i="2"/>
  <c r="AF27" i="2"/>
  <c r="V29" i="2"/>
  <c r="Q29" i="2"/>
  <c r="AI29" i="2"/>
  <c r="AF29" i="2"/>
  <c r="AF13" i="2"/>
  <c r="AI14" i="2"/>
  <c r="V15" i="2"/>
  <c r="Q15" i="2"/>
  <c r="O20" i="2"/>
  <c r="AF21" i="2"/>
  <c r="AF8" i="2"/>
  <c r="O10" i="2"/>
  <c r="V17" i="2"/>
  <c r="Q17" i="2"/>
  <c r="O18" i="2"/>
  <c r="Q19" i="2"/>
  <c r="AF22" i="2"/>
  <c r="AF25" i="2"/>
  <c r="O26" i="2"/>
  <c r="N26" i="2"/>
  <c r="AH27" i="2"/>
  <c r="V28" i="2"/>
  <c r="AI28" i="2"/>
  <c r="V4" i="2"/>
  <c r="AH6" i="2"/>
  <c r="AH8" i="2"/>
  <c r="V9" i="2"/>
  <c r="AH12" i="2"/>
  <c r="V13" i="2"/>
  <c r="AH18" i="2"/>
  <c r="V19" i="2"/>
  <c r="AH22" i="2"/>
  <c r="V23" i="2"/>
  <c r="AH26" i="2"/>
  <c r="V27" i="2"/>
  <c r="AG4" i="2" l="1"/>
  <c r="AJ4" i="2" s="1"/>
  <c r="Y4" i="2"/>
  <c r="AG27" i="2"/>
  <c r="AJ27" i="2" s="1"/>
  <c r="Y27" i="2"/>
  <c r="J27" i="2" s="1"/>
  <c r="AG9" i="2"/>
  <c r="AJ9" i="2" s="1"/>
  <c r="Y9" i="2"/>
  <c r="AG15" i="2"/>
  <c r="AJ15" i="2" s="1"/>
  <c r="Y15" i="2"/>
  <c r="J15" i="2" s="1"/>
  <c r="AG11" i="2"/>
  <c r="AJ11" i="2" s="1"/>
  <c r="Y11" i="2"/>
  <c r="J11" i="2" s="1"/>
  <c r="AG21" i="2"/>
  <c r="AJ21" i="2" s="1"/>
  <c r="Y21" i="2"/>
  <c r="J21" i="2" s="1"/>
  <c r="V10" i="2"/>
  <c r="Q10" i="2"/>
  <c r="AJ24" i="2"/>
  <c r="J24" i="2" s="1"/>
  <c r="Y14" i="2"/>
  <c r="AG14" i="2"/>
  <c r="AJ14" i="2" s="1"/>
  <c r="AG17" i="2"/>
  <c r="AJ17" i="2" s="1"/>
  <c r="J17" i="2" s="1"/>
  <c r="Y17" i="2"/>
  <c r="AG29" i="2"/>
  <c r="AJ29" i="2" s="1"/>
  <c r="Y29" i="2"/>
  <c r="J29" i="2" s="1"/>
  <c r="Y8" i="2"/>
  <c r="AG8" i="2"/>
  <c r="AJ8" i="2" s="1"/>
  <c r="AG19" i="2"/>
  <c r="AJ19" i="2" s="1"/>
  <c r="J19" i="2" s="1"/>
  <c r="Y19" i="2"/>
  <c r="V26" i="2"/>
  <c r="Q26" i="2"/>
  <c r="AG28" i="2"/>
  <c r="AJ28" i="2" s="1"/>
  <c r="Y28" i="2"/>
  <c r="V18" i="2"/>
  <c r="Q18" i="2"/>
  <c r="V20" i="2"/>
  <c r="Q20" i="2"/>
  <c r="AG23" i="2"/>
  <c r="AJ23" i="2" s="1"/>
  <c r="Y23" i="2"/>
  <c r="J23" i="2" s="1"/>
  <c r="AG13" i="2"/>
  <c r="AJ13" i="2" s="1"/>
  <c r="Y13" i="2"/>
  <c r="AG25" i="2"/>
  <c r="AJ25" i="2" s="1"/>
  <c r="Y25" i="2"/>
  <c r="J25" i="2" s="1"/>
  <c r="Q12" i="2"/>
  <c r="V12" i="2"/>
  <c r="Q6" i="2"/>
  <c r="V6" i="2"/>
  <c r="Y22" i="2"/>
  <c r="AG22" i="2"/>
  <c r="AJ22" i="2" s="1"/>
  <c r="AG26" i="2" l="1"/>
  <c r="AJ26" i="2" s="1"/>
  <c r="Y26" i="2"/>
  <c r="J26" i="2" s="1"/>
  <c r="Y6" i="2"/>
  <c r="AG6" i="2"/>
  <c r="AJ6" i="2" s="1"/>
  <c r="AG20" i="2"/>
  <c r="AJ20" i="2" s="1"/>
  <c r="Y20" i="2"/>
  <c r="J6" i="2"/>
  <c r="Y12" i="2"/>
  <c r="AG12" i="2"/>
  <c r="AJ12" i="2" s="1"/>
  <c r="Y18" i="2"/>
  <c r="J18" i="2" s="1"/>
  <c r="AG18" i="2"/>
  <c r="AJ18" i="2" s="1"/>
  <c r="J8" i="2"/>
  <c r="J22" i="2"/>
  <c r="J12" i="2"/>
  <c r="J13" i="2"/>
  <c r="J20" i="2"/>
  <c r="J28" i="2"/>
  <c r="J14" i="2"/>
  <c r="Y10" i="2"/>
  <c r="AG10" i="2"/>
  <c r="AJ10" i="2" s="1"/>
  <c r="J10" i="2" s="1"/>
  <c r="J9" i="2"/>
  <c r="J4" i="2"/>
  <c r="J31" i="2" l="1"/>
</calcChain>
</file>

<file path=xl/sharedStrings.xml><?xml version="1.0" encoding="utf-8"?>
<sst xmlns="http://schemas.openxmlformats.org/spreadsheetml/2006/main" count="121" uniqueCount="64">
  <si>
    <t>Nom</t>
  </si>
  <si>
    <t>Prénom</t>
  </si>
  <si>
    <t>AZOUGAGH</t>
  </si>
  <si>
    <t>Yassin</t>
  </si>
  <si>
    <t>BENAQQA</t>
  </si>
  <si>
    <t>Yanis</t>
  </si>
  <si>
    <t>BIZE</t>
  </si>
  <si>
    <t>Lucas</t>
  </si>
  <si>
    <t>BOUKHARSSA</t>
  </si>
  <si>
    <t>Wallid</t>
  </si>
  <si>
    <t>CASANOVA</t>
  </si>
  <si>
    <t>Mateo</t>
  </si>
  <si>
    <t>COSTE</t>
  </si>
  <si>
    <t>Cyril</t>
  </si>
  <si>
    <t>CROSNE</t>
  </si>
  <si>
    <t>Maxime</t>
  </si>
  <si>
    <t>DEBESNE</t>
  </si>
  <si>
    <t>Justin</t>
  </si>
  <si>
    <t>DJIAB</t>
  </si>
  <si>
    <t>Mohamed</t>
  </si>
  <si>
    <t>DZAWA</t>
  </si>
  <si>
    <t>Emile</t>
  </si>
  <si>
    <t>EL HOUZI</t>
  </si>
  <si>
    <t>Ilias</t>
  </si>
  <si>
    <t>ESCAICH</t>
  </si>
  <si>
    <t>Loic</t>
  </si>
  <si>
    <t>EZZAOUI</t>
  </si>
  <si>
    <t>Rafik</t>
  </si>
  <si>
    <t>FOREST</t>
  </si>
  <si>
    <t>Martin</t>
  </si>
  <si>
    <t>FORN</t>
  </si>
  <si>
    <t>ISAAC</t>
  </si>
  <si>
    <t>Yannick</t>
  </si>
  <si>
    <t>LOPEZ</t>
  </si>
  <si>
    <t>MARTINS</t>
  </si>
  <si>
    <t>Dario</t>
  </si>
  <si>
    <t>MERLIN</t>
  </si>
  <si>
    <t>Enzo</t>
  </si>
  <si>
    <t>MILLOT</t>
  </si>
  <si>
    <t>Hugo</t>
  </si>
  <si>
    <t>NOT</t>
  </si>
  <si>
    <t>Leo</t>
  </si>
  <si>
    <t>SANTOS DA SILVA</t>
  </si>
  <si>
    <t>Ruben</t>
  </si>
  <si>
    <t>SCHELLENS</t>
  </si>
  <si>
    <t>Kylian</t>
  </si>
  <si>
    <t>SEDDAK</t>
  </si>
  <si>
    <t>Bouziane</t>
  </si>
  <si>
    <t>SONZOGNI</t>
  </si>
  <si>
    <t>Maeva</t>
  </si>
  <si>
    <t>ZANON</t>
  </si>
  <si>
    <t>Florian</t>
  </si>
  <si>
    <t>NOM</t>
  </si>
  <si>
    <t>PRENOM</t>
  </si>
  <si>
    <t>TOTAL</t>
  </si>
  <si>
    <t>INFORMER</t>
  </si>
  <si>
    <t>CHERCHER</t>
  </si>
  <si>
    <t>MODELISER</t>
  </si>
  <si>
    <t>RAISONNER</t>
  </si>
  <si>
    <t>CALCULER</t>
  </si>
  <si>
    <t>COMMUNIQUER</t>
  </si>
  <si>
    <t>Appel 1</t>
  </si>
  <si>
    <t>Appel 2</t>
  </si>
  <si>
    <t>Appel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</si>
</sst>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3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rgb="FFCCCCCC"/>
        <bgColor rgb="FFD9D9D9"/>
      </patternFill>
    </fill>
    <fill>
      <patternFill patternType="solid">
        <fgColor rgb="FFFF0000"/>
        <bgColor rgb="FFCC0000"/>
      </patternFill>
    </fill>
    <fill>
      <patternFill patternType="solid">
        <fgColor rgb="FF92D050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DDDDD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164" fontId="2" fillId="0" borderId="0" applyBorder="0" applyProtection="0"/>
    <xf numFmtId="0" fontId="1" fillId="2" borderId="0" applyBorder="0" applyProtection="0"/>
  </cellStyleXfs>
  <cellXfs count="11">
    <xf numFmtId="0" fontId="0" fillId="0" borderId="0" xfId="0"/>
    <xf numFmtId="0" fontId="0" fillId="0" borderId="1" xfId="0" applyFont="1" applyBorder="1" applyAlignment="1">
      <alignment horizontal="center"/>
    </xf>
    <xf numFmtId="0" fontId="0" fillId="3" borderId="1" xfId="0" applyFont="1" applyFill="1" applyBorder="1"/>
    <xf numFmtId="0" fontId="0" fillId="0" borderId="1" xfId="0" applyFont="1" applyBorder="1"/>
    <xf numFmtId="164" fontId="0" fillId="4" borderId="1" xfId="1" applyFont="1" applyFill="1" applyBorder="1" applyAlignment="1" applyProtection="1">
      <alignment horizontal="center"/>
    </xf>
    <xf numFmtId="0" fontId="0" fillId="5" borderId="1" xfId="0" applyFill="1" applyBorder="1"/>
    <xf numFmtId="164" fontId="0" fillId="4" borderId="2" xfId="1" applyFont="1" applyFill="1" applyBorder="1" applyAlignment="1" applyProtection="1">
      <alignment horizontal="center"/>
    </xf>
    <xf numFmtId="164" fontId="0" fillId="3" borderId="1" xfId="1" applyFont="1" applyFill="1" applyBorder="1" applyAlignment="1" applyProtection="1">
      <alignment horizontal="center"/>
    </xf>
    <xf numFmtId="0" fontId="0" fillId="3" borderId="0" xfId="0" applyFill="1"/>
    <xf numFmtId="0" fontId="0" fillId="6" borderId="1" xfId="0" applyFill="1" applyBorder="1"/>
    <xf numFmtId="0" fontId="0" fillId="7" borderId="1" xfId="0" applyFill="1" applyBorder="1"/>
  </cellXfs>
  <cellStyles count="3">
    <cellStyle name="Milliers" xfId="1" builtinId="3"/>
    <cellStyle name="Normal" xfId="0" builtinId="0"/>
    <cellStyle name="Texte explicatif" xfId="2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DDDDD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workbookViewId="0">
      <selection activeCell="M12" sqref="M12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 t="s">
        <v>54</v>
      </c>
    </row>
    <row r="2" spans="1:9" x14ac:dyDescent="0.25">
      <c r="A2" s="2" t="s">
        <v>2</v>
      </c>
      <c r="B2" s="2" t="s">
        <v>3</v>
      </c>
      <c r="C2" s="2">
        <v>0.5</v>
      </c>
      <c r="D2" s="2">
        <v>1</v>
      </c>
      <c r="E2" s="2">
        <v>1.75</v>
      </c>
      <c r="F2" s="2">
        <v>1.75</v>
      </c>
      <c r="G2" s="2">
        <v>1.75</v>
      </c>
      <c r="H2" s="2">
        <v>2</v>
      </c>
      <c r="I2" s="2">
        <f>SUM(C2:H2)</f>
        <v>8.75</v>
      </c>
    </row>
    <row r="3" spans="1:9" x14ac:dyDescent="0.25">
      <c r="A3" s="3" t="s">
        <v>4</v>
      </c>
      <c r="B3" s="3" t="s">
        <v>5</v>
      </c>
      <c r="C3" s="3"/>
      <c r="D3" s="3"/>
      <c r="E3" s="3"/>
      <c r="F3" s="3"/>
      <c r="G3" s="3"/>
      <c r="H3" s="3"/>
      <c r="I3" s="3"/>
    </row>
    <row r="4" spans="1:9" x14ac:dyDescent="0.25">
      <c r="A4" s="2" t="s">
        <v>6</v>
      </c>
      <c r="B4" s="2" t="s">
        <v>7</v>
      </c>
      <c r="C4" s="2">
        <v>1</v>
      </c>
      <c r="D4" s="2">
        <v>1</v>
      </c>
      <c r="E4" s="2">
        <v>1.75</v>
      </c>
      <c r="F4" s="2">
        <v>1.75</v>
      </c>
      <c r="G4" s="2">
        <v>2</v>
      </c>
      <c r="H4" s="2">
        <v>2</v>
      </c>
      <c r="I4" s="2">
        <f>SUM(C4:H4)</f>
        <v>9.5</v>
      </c>
    </row>
    <row r="5" spans="1:9" x14ac:dyDescent="0.25">
      <c r="A5" s="3" t="s">
        <v>8</v>
      </c>
      <c r="B5" s="3" t="s">
        <v>9</v>
      </c>
      <c r="C5" s="3"/>
      <c r="D5" s="3"/>
      <c r="E5" s="3"/>
      <c r="F5" s="3"/>
      <c r="G5" s="3"/>
      <c r="H5" s="3"/>
      <c r="I5" s="3"/>
    </row>
    <row r="6" spans="1:9" x14ac:dyDescent="0.25">
      <c r="A6" s="2" t="s">
        <v>10</v>
      </c>
      <c r="B6" s="2" t="s">
        <v>11</v>
      </c>
      <c r="C6" s="2">
        <v>0.5</v>
      </c>
      <c r="D6" s="2">
        <v>0.5</v>
      </c>
      <c r="E6" s="2">
        <v>1.75</v>
      </c>
      <c r="F6" s="2">
        <v>1</v>
      </c>
      <c r="G6" s="2">
        <v>2</v>
      </c>
      <c r="H6" s="2">
        <v>1.5</v>
      </c>
      <c r="I6" s="2">
        <f t="shared" ref="I6:I13" si="0">SUM(C6:H6)</f>
        <v>7.25</v>
      </c>
    </row>
    <row r="7" spans="1:9" x14ac:dyDescent="0.25">
      <c r="A7" s="3" t="s">
        <v>12</v>
      </c>
      <c r="B7" s="3" t="s">
        <v>13</v>
      </c>
      <c r="C7" s="3">
        <v>0.5</v>
      </c>
      <c r="D7" s="3">
        <v>0</v>
      </c>
      <c r="E7" s="3">
        <v>1</v>
      </c>
      <c r="F7" s="3">
        <v>0</v>
      </c>
      <c r="G7" s="3">
        <v>0.75</v>
      </c>
      <c r="H7" s="3">
        <v>0</v>
      </c>
      <c r="I7" s="3">
        <f t="shared" si="0"/>
        <v>2.25</v>
      </c>
    </row>
    <row r="8" spans="1:9" x14ac:dyDescent="0.25">
      <c r="A8" s="2" t="s">
        <v>14</v>
      </c>
      <c r="B8" s="2" t="s">
        <v>15</v>
      </c>
      <c r="C8" s="2">
        <v>1</v>
      </c>
      <c r="D8" s="2">
        <v>0.5</v>
      </c>
      <c r="E8" s="2">
        <v>2</v>
      </c>
      <c r="F8" s="2">
        <v>1.5</v>
      </c>
      <c r="G8" s="2">
        <v>1.5</v>
      </c>
      <c r="H8" s="2">
        <v>1.5</v>
      </c>
      <c r="I8" s="2">
        <f t="shared" si="0"/>
        <v>8</v>
      </c>
    </row>
    <row r="9" spans="1:9" x14ac:dyDescent="0.25">
      <c r="A9" s="3" t="s">
        <v>16</v>
      </c>
      <c r="B9" s="3" t="s">
        <v>17</v>
      </c>
      <c r="C9" s="3">
        <v>0.75</v>
      </c>
      <c r="D9" s="3">
        <v>0.75</v>
      </c>
      <c r="E9" s="3">
        <v>1.75</v>
      </c>
      <c r="F9" s="3">
        <v>0.75</v>
      </c>
      <c r="G9" s="3">
        <v>1.75</v>
      </c>
      <c r="H9" s="3">
        <v>1</v>
      </c>
      <c r="I9" s="3">
        <f t="shared" si="0"/>
        <v>6.75</v>
      </c>
    </row>
    <row r="10" spans="1:9" x14ac:dyDescent="0.25">
      <c r="A10" s="2" t="s">
        <v>18</v>
      </c>
      <c r="B10" s="2" t="s">
        <v>19</v>
      </c>
      <c r="C10" s="2">
        <v>1</v>
      </c>
      <c r="D10" s="2">
        <v>1</v>
      </c>
      <c r="E10" s="2">
        <v>1.75</v>
      </c>
      <c r="F10" s="2">
        <v>1</v>
      </c>
      <c r="G10" s="2">
        <v>1.5</v>
      </c>
      <c r="H10" s="2">
        <v>1.5</v>
      </c>
      <c r="I10" s="2">
        <f t="shared" si="0"/>
        <v>7.75</v>
      </c>
    </row>
    <row r="11" spans="1:9" x14ac:dyDescent="0.25">
      <c r="A11" s="3" t="s">
        <v>20</v>
      </c>
      <c r="B11" s="3" t="s">
        <v>21</v>
      </c>
      <c r="C11" s="3">
        <v>0.5</v>
      </c>
      <c r="D11" s="3">
        <v>0</v>
      </c>
      <c r="E11" s="3">
        <v>1.5</v>
      </c>
      <c r="F11" s="3">
        <v>0.5</v>
      </c>
      <c r="G11" s="3">
        <v>1</v>
      </c>
      <c r="H11" s="3">
        <v>0.75</v>
      </c>
      <c r="I11" s="3">
        <f t="shared" si="0"/>
        <v>4.25</v>
      </c>
    </row>
    <row r="12" spans="1:9" x14ac:dyDescent="0.25">
      <c r="A12" s="2" t="s">
        <v>22</v>
      </c>
      <c r="B12" s="2" t="s">
        <v>23</v>
      </c>
      <c r="C12" s="2">
        <v>0.5</v>
      </c>
      <c r="D12" s="2">
        <v>0</v>
      </c>
      <c r="E12" s="2">
        <v>0.5</v>
      </c>
      <c r="F12" s="2">
        <v>1</v>
      </c>
      <c r="G12" s="2">
        <v>2</v>
      </c>
      <c r="H12" s="2">
        <v>1.5</v>
      </c>
      <c r="I12" s="2">
        <f t="shared" si="0"/>
        <v>5.5</v>
      </c>
    </row>
    <row r="13" spans="1:9" x14ac:dyDescent="0.25">
      <c r="A13" s="3" t="s">
        <v>24</v>
      </c>
      <c r="B13" s="3" t="s">
        <v>25</v>
      </c>
      <c r="C13" s="3">
        <v>1</v>
      </c>
      <c r="D13" s="3">
        <v>0.5</v>
      </c>
      <c r="E13" s="3">
        <v>1.5</v>
      </c>
      <c r="F13" s="3">
        <v>1.75</v>
      </c>
      <c r="G13" s="3">
        <v>1.5</v>
      </c>
      <c r="H13" s="3">
        <v>1.75</v>
      </c>
      <c r="I13" s="3">
        <f t="shared" si="0"/>
        <v>8</v>
      </c>
    </row>
    <row r="14" spans="1:9" x14ac:dyDescent="0.25">
      <c r="A14" s="2" t="s">
        <v>26</v>
      </c>
      <c r="B14" s="2" t="s">
        <v>27</v>
      </c>
      <c r="C14" s="2"/>
      <c r="D14" s="2"/>
      <c r="E14" s="2"/>
      <c r="F14" s="2"/>
      <c r="G14" s="2"/>
      <c r="H14" s="2"/>
      <c r="I14" s="2"/>
    </row>
    <row r="15" spans="1:9" x14ac:dyDescent="0.25">
      <c r="A15" s="3" t="s">
        <v>28</v>
      </c>
      <c r="B15" s="3" t="s">
        <v>29</v>
      </c>
      <c r="C15" s="3">
        <v>1</v>
      </c>
      <c r="D15" s="3">
        <v>1</v>
      </c>
      <c r="E15" s="3">
        <v>2</v>
      </c>
      <c r="F15" s="3">
        <v>2</v>
      </c>
      <c r="G15" s="3">
        <v>2</v>
      </c>
      <c r="H15" s="3">
        <v>2</v>
      </c>
      <c r="I15" s="3">
        <f t="shared" ref="I15:I27" si="1">SUM(C15:H15)</f>
        <v>10</v>
      </c>
    </row>
    <row r="16" spans="1:9" x14ac:dyDescent="0.25">
      <c r="A16" s="2" t="s">
        <v>30</v>
      </c>
      <c r="B16" s="2" t="s">
        <v>7</v>
      </c>
      <c r="C16" s="2">
        <v>0.5</v>
      </c>
      <c r="D16" s="2">
        <v>0</v>
      </c>
      <c r="E16" s="2">
        <v>0.5</v>
      </c>
      <c r="F16" s="2">
        <v>0</v>
      </c>
      <c r="G16" s="2">
        <v>1</v>
      </c>
      <c r="H16" s="2">
        <v>0</v>
      </c>
      <c r="I16" s="2">
        <f t="shared" si="1"/>
        <v>2</v>
      </c>
    </row>
    <row r="17" spans="1:9" x14ac:dyDescent="0.25">
      <c r="A17" s="3" t="s">
        <v>31</v>
      </c>
      <c r="B17" s="3" t="s">
        <v>32</v>
      </c>
      <c r="C17" s="3">
        <v>0.5</v>
      </c>
      <c r="D17" s="3">
        <v>0</v>
      </c>
      <c r="E17" s="3">
        <v>0</v>
      </c>
      <c r="F17" s="3">
        <v>0</v>
      </c>
      <c r="G17" s="3">
        <v>0.75</v>
      </c>
      <c r="H17" s="3">
        <v>0</v>
      </c>
      <c r="I17" s="3">
        <f t="shared" si="1"/>
        <v>1.25</v>
      </c>
    </row>
    <row r="18" spans="1:9" x14ac:dyDescent="0.25">
      <c r="A18" s="2" t="s">
        <v>33</v>
      </c>
      <c r="B18" s="2" t="s">
        <v>25</v>
      </c>
      <c r="C18" s="2">
        <v>0.5</v>
      </c>
      <c r="D18" s="2">
        <v>0.75</v>
      </c>
      <c r="E18" s="2">
        <v>1.5</v>
      </c>
      <c r="F18" s="2">
        <v>0.75</v>
      </c>
      <c r="G18" s="2">
        <v>1.75</v>
      </c>
      <c r="H18" s="2">
        <v>1</v>
      </c>
      <c r="I18" s="2">
        <f t="shared" si="1"/>
        <v>6.25</v>
      </c>
    </row>
    <row r="19" spans="1:9" x14ac:dyDescent="0.25">
      <c r="A19" s="3" t="s">
        <v>34</v>
      </c>
      <c r="B19" s="3" t="s">
        <v>35</v>
      </c>
      <c r="C19" s="3">
        <v>0.5</v>
      </c>
      <c r="D19" s="3">
        <v>0</v>
      </c>
      <c r="E19" s="3">
        <v>0</v>
      </c>
      <c r="F19" s="3">
        <v>0</v>
      </c>
      <c r="G19" s="3">
        <v>0.75</v>
      </c>
      <c r="H19" s="3">
        <v>0</v>
      </c>
      <c r="I19" s="3">
        <f t="shared" si="1"/>
        <v>1.25</v>
      </c>
    </row>
    <row r="20" spans="1:9" x14ac:dyDescent="0.25">
      <c r="A20" s="2" t="s">
        <v>36</v>
      </c>
      <c r="B20" s="2" t="s">
        <v>37</v>
      </c>
      <c r="C20" s="2">
        <v>0.75</v>
      </c>
      <c r="D20" s="2">
        <v>0.75</v>
      </c>
      <c r="E20" s="2">
        <v>1.75</v>
      </c>
      <c r="F20" s="2">
        <v>1.5</v>
      </c>
      <c r="G20" s="2">
        <v>2</v>
      </c>
      <c r="H20" s="2">
        <v>1.75</v>
      </c>
      <c r="I20" s="2">
        <f t="shared" si="1"/>
        <v>8.5</v>
      </c>
    </row>
    <row r="21" spans="1:9" x14ac:dyDescent="0.25">
      <c r="A21" s="3" t="s">
        <v>38</v>
      </c>
      <c r="B21" s="3" t="s">
        <v>39</v>
      </c>
      <c r="C21" s="3">
        <v>1</v>
      </c>
      <c r="D21" s="3">
        <v>0.5</v>
      </c>
      <c r="E21" s="3">
        <v>0.75</v>
      </c>
      <c r="F21" s="3">
        <v>1.5</v>
      </c>
      <c r="G21" s="3">
        <v>1.5</v>
      </c>
      <c r="H21" s="3">
        <v>1</v>
      </c>
      <c r="I21" s="3">
        <f t="shared" si="1"/>
        <v>6.25</v>
      </c>
    </row>
    <row r="22" spans="1:9" x14ac:dyDescent="0.25">
      <c r="A22" s="2" t="s">
        <v>40</v>
      </c>
      <c r="B22" s="2" t="s">
        <v>41</v>
      </c>
      <c r="C22" s="2">
        <v>0.75</v>
      </c>
      <c r="D22" s="2">
        <v>0.25</v>
      </c>
      <c r="E22" s="2">
        <v>1.5</v>
      </c>
      <c r="F22" s="2">
        <v>0.75</v>
      </c>
      <c r="G22" s="2">
        <v>1.5</v>
      </c>
      <c r="H22" s="2">
        <v>0.75</v>
      </c>
      <c r="I22" s="2">
        <f t="shared" si="1"/>
        <v>5.5</v>
      </c>
    </row>
    <row r="23" spans="1:9" x14ac:dyDescent="0.25">
      <c r="A23" s="3" t="s">
        <v>42</v>
      </c>
      <c r="B23" s="3" t="s">
        <v>43</v>
      </c>
      <c r="C23" s="3">
        <v>0.5</v>
      </c>
      <c r="D23" s="3">
        <v>0</v>
      </c>
      <c r="E23" s="3">
        <v>0.5</v>
      </c>
      <c r="F23" s="3">
        <v>0.5</v>
      </c>
      <c r="G23" s="3">
        <v>1.75</v>
      </c>
      <c r="H23" s="3">
        <v>0.75</v>
      </c>
      <c r="I23" s="3">
        <f t="shared" si="1"/>
        <v>4</v>
      </c>
    </row>
    <row r="24" spans="1:9" x14ac:dyDescent="0.25">
      <c r="A24" s="2" t="s">
        <v>44</v>
      </c>
      <c r="B24" s="2" t="s">
        <v>45</v>
      </c>
      <c r="C24" s="2">
        <v>0.5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f t="shared" si="1"/>
        <v>1.5</v>
      </c>
    </row>
    <row r="25" spans="1:9" x14ac:dyDescent="0.25">
      <c r="A25" s="3" t="s">
        <v>46</v>
      </c>
      <c r="B25" s="3" t="s">
        <v>47</v>
      </c>
      <c r="C25" s="3">
        <v>0.5</v>
      </c>
      <c r="D25" s="3">
        <v>0.25</v>
      </c>
      <c r="E25" s="3">
        <v>0</v>
      </c>
      <c r="F25" s="3">
        <v>0.5</v>
      </c>
      <c r="G25" s="3">
        <v>1</v>
      </c>
      <c r="H25" s="3">
        <v>0.5</v>
      </c>
      <c r="I25" s="3">
        <f t="shared" si="1"/>
        <v>2.75</v>
      </c>
    </row>
    <row r="26" spans="1:9" x14ac:dyDescent="0.25">
      <c r="A26" s="2" t="s">
        <v>48</v>
      </c>
      <c r="B26" s="2" t="s">
        <v>49</v>
      </c>
      <c r="C26" s="2">
        <v>1</v>
      </c>
      <c r="D26" s="2">
        <v>1</v>
      </c>
      <c r="E26" s="2">
        <v>2</v>
      </c>
      <c r="F26" s="2">
        <v>2</v>
      </c>
      <c r="G26" s="2">
        <v>2</v>
      </c>
      <c r="H26" s="2">
        <v>2</v>
      </c>
      <c r="I26" s="2">
        <f t="shared" si="1"/>
        <v>10</v>
      </c>
    </row>
    <row r="27" spans="1:9" x14ac:dyDescent="0.25">
      <c r="A27" s="3" t="s">
        <v>50</v>
      </c>
      <c r="B27" s="3" t="s">
        <v>51</v>
      </c>
      <c r="C27" s="3">
        <v>0.75</v>
      </c>
      <c r="D27" s="3">
        <v>0.5</v>
      </c>
      <c r="E27" s="3">
        <v>0.75</v>
      </c>
      <c r="F27" s="3">
        <v>1.5</v>
      </c>
      <c r="G27" s="3">
        <v>1.75</v>
      </c>
      <c r="H27" s="3">
        <v>1.5</v>
      </c>
      <c r="I27" s="3">
        <f t="shared" si="1"/>
        <v>6.75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1"/>
  <sheetViews>
    <sheetView zoomScaleNormal="100" workbookViewId="0">
      <pane ySplit="12" topLeftCell="A20" activePane="bottomLeft" state="frozen"/>
      <selection pane="bottomLeft" activeCell="C3" sqref="C3:I29"/>
    </sheetView>
  </sheetViews>
  <sheetFormatPr baseColWidth="10" defaultColWidth="9.140625" defaultRowHeight="15" x14ac:dyDescent="0.25"/>
  <cols>
    <col min="1" max="1" width="11.42578125" style="3"/>
    <col min="2" max="9" width="7.85546875" style="3" customWidth="1"/>
    <col min="10" max="10" width="7.42578125" style="4" customWidth="1"/>
    <col min="11" max="13" width="6.85546875" style="3" customWidth="1"/>
    <col min="14" max="14" width="6.85546875" style="5" customWidth="1"/>
    <col min="15" max="16" width="6.85546875" style="3" customWidth="1"/>
    <col min="17" max="17" width="6.85546875" style="5" customWidth="1"/>
    <col min="18" max="20" width="6.85546875" style="3" customWidth="1"/>
    <col min="21" max="21" width="6.85546875" style="5" customWidth="1"/>
    <col min="22" max="24" width="6.85546875" style="3" customWidth="1"/>
    <col min="25" max="25" width="6.85546875" style="5" customWidth="1"/>
    <col min="26" max="31" width="6.85546875" style="3" customWidth="1"/>
    <col min="32" max="32" width="6.85546875" style="5" customWidth="1"/>
    <col min="33" max="35" width="6.85546875" style="3" customWidth="1"/>
    <col min="36" max="36" width="6.85546875" style="5" customWidth="1"/>
    <col min="37" max="40" width="11.42578125" style="3"/>
    <col min="41" max="50" width="3.85546875" style="3" customWidth="1"/>
    <col min="51" max="1023" width="11.42578125" style="3"/>
    <col min="1024" max="1025" width="11.42578125"/>
  </cols>
  <sheetData>
    <row r="1" spans="1:1024" x14ac:dyDescent="0.25">
      <c r="A1" s="3" t="s">
        <v>0</v>
      </c>
      <c r="B1" s="3" t="s">
        <v>1</v>
      </c>
    </row>
    <row r="2" spans="1:1024" ht="12.75" customHeight="1" x14ac:dyDescent="0.25">
      <c r="K2" s="3">
        <v>1</v>
      </c>
      <c r="L2" s="3">
        <v>2</v>
      </c>
      <c r="M2" s="3">
        <v>6</v>
      </c>
      <c r="N2" s="5">
        <v>1</v>
      </c>
      <c r="O2" s="3">
        <v>2</v>
      </c>
      <c r="P2" s="3">
        <v>10</v>
      </c>
      <c r="Q2" s="5">
        <v>1</v>
      </c>
      <c r="R2" s="3">
        <v>6</v>
      </c>
      <c r="S2" s="3">
        <v>9</v>
      </c>
      <c r="T2" s="3">
        <v>10</v>
      </c>
      <c r="U2" s="5">
        <v>2</v>
      </c>
      <c r="V2" s="3">
        <v>2</v>
      </c>
      <c r="W2" s="3">
        <v>6</v>
      </c>
      <c r="X2" s="3">
        <v>8</v>
      </c>
      <c r="Y2" s="5">
        <v>2</v>
      </c>
      <c r="Z2" s="3">
        <v>1</v>
      </c>
      <c r="AA2" s="3">
        <v>3</v>
      </c>
      <c r="AB2" s="3">
        <v>4</v>
      </c>
      <c r="AC2" s="3">
        <v>5</v>
      </c>
      <c r="AD2" s="3">
        <v>7</v>
      </c>
      <c r="AE2" s="3">
        <v>8</v>
      </c>
      <c r="AF2" s="5">
        <v>2</v>
      </c>
      <c r="AG2" s="3">
        <v>2</v>
      </c>
      <c r="AH2" s="3">
        <v>3</v>
      </c>
      <c r="AI2" s="3">
        <v>8</v>
      </c>
      <c r="AJ2" s="5">
        <v>2</v>
      </c>
    </row>
    <row r="3" spans="1:1024" x14ac:dyDescent="0.25">
      <c r="A3" s="3" t="s">
        <v>52</v>
      </c>
      <c r="B3" s="3" t="s">
        <v>53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 t="s">
        <v>54</v>
      </c>
      <c r="J3" s="6"/>
      <c r="K3" s="1" t="s">
        <v>55</v>
      </c>
      <c r="L3" s="1"/>
      <c r="M3" s="1"/>
      <c r="N3" s="1"/>
      <c r="O3" s="1" t="s">
        <v>56</v>
      </c>
      <c r="P3" s="1"/>
      <c r="Q3" s="1"/>
      <c r="R3" s="1" t="s">
        <v>57</v>
      </c>
      <c r="S3" s="1"/>
      <c r="T3" s="1"/>
      <c r="U3" s="1"/>
      <c r="V3" s="1" t="s">
        <v>58</v>
      </c>
      <c r="W3" s="1"/>
      <c r="X3" s="1"/>
      <c r="Y3" s="1"/>
      <c r="Z3" s="1" t="s">
        <v>59</v>
      </c>
      <c r="AA3" s="1"/>
      <c r="AB3" s="1"/>
      <c r="AC3" s="1"/>
      <c r="AD3" s="1"/>
      <c r="AE3" s="1"/>
      <c r="AF3" s="1"/>
      <c r="AG3" s="1" t="s">
        <v>60</v>
      </c>
      <c r="AH3" s="1"/>
      <c r="AI3" s="1"/>
      <c r="AJ3" s="1"/>
      <c r="AK3" s="3" t="s">
        <v>61</v>
      </c>
      <c r="AL3" s="3" t="s">
        <v>62</v>
      </c>
      <c r="AM3" s="3" t="s">
        <v>63</v>
      </c>
      <c r="AO3" s="3">
        <v>1</v>
      </c>
      <c r="AP3" s="3">
        <v>2</v>
      </c>
      <c r="AQ3" s="3">
        <v>3</v>
      </c>
      <c r="AR3" s="3">
        <v>4</v>
      </c>
      <c r="AS3" s="3">
        <v>5</v>
      </c>
      <c r="AT3" s="3">
        <v>6</v>
      </c>
      <c r="AU3" s="3">
        <v>7</v>
      </c>
      <c r="AV3" s="3">
        <v>8</v>
      </c>
      <c r="AW3" s="3">
        <v>9</v>
      </c>
      <c r="AX3" s="3">
        <v>10</v>
      </c>
    </row>
    <row r="4" spans="1:1024" s="2" customFormat="1" x14ac:dyDescent="0.25">
      <c r="A4" s="2" t="s">
        <v>2</v>
      </c>
      <c r="B4" s="2" t="s">
        <v>3</v>
      </c>
      <c r="C4" s="2">
        <v>0.5</v>
      </c>
      <c r="D4" s="2">
        <v>1</v>
      </c>
      <c r="E4" s="2">
        <v>1.75</v>
      </c>
      <c r="F4" s="2">
        <v>1.75</v>
      </c>
      <c r="G4" s="2">
        <v>1.75</v>
      </c>
      <c r="H4" s="2">
        <v>2</v>
      </c>
      <c r="I4" s="2">
        <f>SUM(C4:H4)</f>
        <v>8.75</v>
      </c>
      <c r="J4" s="7">
        <f>N4+Q4+U4+Y4+AF4+AJ4</f>
        <v>8.5</v>
      </c>
      <c r="K4" s="2">
        <v>0</v>
      </c>
      <c r="L4" s="2">
        <f>AK4/2</f>
        <v>1</v>
      </c>
      <c r="M4" s="2">
        <v>0.5</v>
      </c>
      <c r="N4" s="2">
        <f>AVERAGE(K4:M4)</f>
        <v>0.5</v>
      </c>
      <c r="O4" s="2">
        <f>L4</f>
        <v>1</v>
      </c>
      <c r="P4" s="2">
        <f>T4</f>
        <v>1</v>
      </c>
      <c r="Q4" s="2">
        <f>AVERAGE(O4:P4)</f>
        <v>1</v>
      </c>
      <c r="R4" s="2">
        <v>0.5</v>
      </c>
      <c r="S4" s="2">
        <v>1</v>
      </c>
      <c r="T4" s="2">
        <v>1</v>
      </c>
      <c r="U4" s="2">
        <f>AVERAGE(R4:T4)*2</f>
        <v>1.6666666666666667</v>
      </c>
      <c r="V4" s="2">
        <f>O4</f>
        <v>1</v>
      </c>
      <c r="W4" s="2">
        <v>0.5</v>
      </c>
      <c r="X4" s="2">
        <f>AM4/2</f>
        <v>1</v>
      </c>
      <c r="Y4" s="2">
        <f>AVERAGE(V4:X4)*2</f>
        <v>1.6666666666666667</v>
      </c>
      <c r="Z4" s="2">
        <v>0</v>
      </c>
      <c r="AA4" s="2">
        <f>AL4/2</f>
        <v>1</v>
      </c>
      <c r="AB4" s="2">
        <v>1</v>
      </c>
      <c r="AC4" s="2">
        <v>1</v>
      </c>
      <c r="AD4" s="2">
        <v>1</v>
      </c>
      <c r="AE4" s="2">
        <f>X4</f>
        <v>1</v>
      </c>
      <c r="AF4" s="2">
        <f>AVERAGE(Z4:AE4)*2</f>
        <v>1.6666666666666667</v>
      </c>
      <c r="AG4" s="2">
        <f>V4</f>
        <v>1</v>
      </c>
      <c r="AH4" s="2">
        <f>AA4</f>
        <v>1</v>
      </c>
      <c r="AI4" s="2">
        <f>AE4</f>
        <v>1</v>
      </c>
      <c r="AJ4" s="2">
        <f>AVERAGE(AG4:AI4)*2</f>
        <v>2</v>
      </c>
      <c r="AK4" s="2">
        <v>2</v>
      </c>
      <c r="AL4" s="2">
        <v>2</v>
      </c>
      <c r="AM4" s="2">
        <v>2</v>
      </c>
      <c r="AN4" s="2">
        <f t="shared" ref="AN4:AN29" si="0">SUM(AK4:AM4)</f>
        <v>6</v>
      </c>
      <c r="AY4" s="2" t="e">
        <f>+recher</f>
        <v>#NAME?</v>
      </c>
      <c r="AMJ4" s="8"/>
    </row>
    <row r="5" spans="1:1024" x14ac:dyDescent="0.25">
      <c r="A5" s="3" t="s">
        <v>4</v>
      </c>
      <c r="B5" s="3" t="s">
        <v>5</v>
      </c>
      <c r="AN5" s="9">
        <f t="shared" si="0"/>
        <v>0</v>
      </c>
    </row>
    <row r="6" spans="1:1024" s="2" customFormat="1" x14ac:dyDescent="0.25">
      <c r="A6" s="2" t="s">
        <v>6</v>
      </c>
      <c r="B6" s="2" t="s">
        <v>7</v>
      </c>
      <c r="C6" s="2">
        <v>1</v>
      </c>
      <c r="D6" s="2">
        <v>1</v>
      </c>
      <c r="E6" s="2">
        <v>1.75</v>
      </c>
      <c r="F6" s="2">
        <v>1.75</v>
      </c>
      <c r="G6" s="2">
        <v>2</v>
      </c>
      <c r="H6" s="2">
        <v>2</v>
      </c>
      <c r="I6" s="2">
        <f>SUM(C6:H6)</f>
        <v>9.5</v>
      </c>
      <c r="J6" s="7">
        <f>N6+Q6+U6+Y6+AF6+AJ6</f>
        <v>9.1666666666666679</v>
      </c>
      <c r="K6" s="2">
        <v>1</v>
      </c>
      <c r="L6" s="2">
        <f>AK6/2</f>
        <v>1</v>
      </c>
      <c r="M6" s="2">
        <v>0.5</v>
      </c>
      <c r="N6" s="2">
        <f>AVERAGE(K6:M6)</f>
        <v>0.83333333333333337</v>
      </c>
      <c r="O6" s="2">
        <f>L6</f>
        <v>1</v>
      </c>
      <c r="P6" s="2">
        <f>T6</f>
        <v>1</v>
      </c>
      <c r="Q6" s="2">
        <f>AVERAGE(O6:P6)</f>
        <v>1</v>
      </c>
      <c r="R6" s="2">
        <v>0.5</v>
      </c>
      <c r="S6" s="2">
        <v>1</v>
      </c>
      <c r="T6" s="2">
        <v>1</v>
      </c>
      <c r="U6" s="2">
        <f>AVERAGE(R6:T6)*2</f>
        <v>1.6666666666666667</v>
      </c>
      <c r="V6" s="2">
        <f>O6</f>
        <v>1</v>
      </c>
      <c r="W6" s="2">
        <v>0.5</v>
      </c>
      <c r="X6" s="2">
        <f>AM6/2</f>
        <v>1</v>
      </c>
      <c r="Y6" s="2">
        <f>AVERAGE(V6:X6)*2</f>
        <v>1.6666666666666667</v>
      </c>
      <c r="Z6" s="2">
        <v>1</v>
      </c>
      <c r="AA6" s="2">
        <f>AL6/2</f>
        <v>1</v>
      </c>
      <c r="AB6" s="2">
        <v>1</v>
      </c>
      <c r="AC6" s="2">
        <v>1</v>
      </c>
      <c r="AD6" s="2">
        <v>1</v>
      </c>
      <c r="AE6" s="2">
        <f>X6</f>
        <v>1</v>
      </c>
      <c r="AF6" s="2">
        <f>AVERAGE(Z6:AE6)*2</f>
        <v>2</v>
      </c>
      <c r="AG6" s="2">
        <f>V6</f>
        <v>1</v>
      </c>
      <c r="AH6" s="2">
        <f>AA6</f>
        <v>1</v>
      </c>
      <c r="AI6" s="2">
        <f>AE6</f>
        <v>1</v>
      </c>
      <c r="AJ6" s="2">
        <f>AVERAGE(AG6:AI6)*2</f>
        <v>2</v>
      </c>
      <c r="AK6" s="2">
        <v>2</v>
      </c>
      <c r="AL6" s="2">
        <v>2</v>
      </c>
      <c r="AM6" s="2">
        <v>2</v>
      </c>
      <c r="AN6" s="2">
        <f t="shared" si="0"/>
        <v>6</v>
      </c>
      <c r="AMJ6" s="8"/>
    </row>
    <row r="7" spans="1:1024" x14ac:dyDescent="0.25">
      <c r="A7" s="3" t="s">
        <v>8</v>
      </c>
      <c r="B7" s="3" t="s">
        <v>9</v>
      </c>
      <c r="AN7" s="9">
        <f t="shared" si="0"/>
        <v>0</v>
      </c>
    </row>
    <row r="8" spans="1:1024" s="2" customFormat="1" x14ac:dyDescent="0.25">
      <c r="A8" s="2" t="s">
        <v>10</v>
      </c>
      <c r="B8" s="2" t="s">
        <v>11</v>
      </c>
      <c r="C8" s="2">
        <v>0.5</v>
      </c>
      <c r="D8" s="2">
        <v>0.5</v>
      </c>
      <c r="E8" s="2">
        <v>1.75</v>
      </c>
      <c r="F8" s="2">
        <v>1</v>
      </c>
      <c r="G8" s="2">
        <v>2</v>
      </c>
      <c r="H8" s="2">
        <v>1.5</v>
      </c>
      <c r="I8" s="2">
        <f t="shared" ref="I8:I15" si="1">SUM(C8:H8)</f>
        <v>7.25</v>
      </c>
      <c r="J8" s="7">
        <f t="shared" ref="J8:J15" si="2">N8+Q8+U8+Y8+AF8+AJ8</f>
        <v>7</v>
      </c>
      <c r="K8" s="2">
        <v>1</v>
      </c>
      <c r="L8" s="2">
        <f t="shared" ref="L8:L15" si="3">AK8/2</f>
        <v>0</v>
      </c>
      <c r="M8" s="2">
        <v>0.5</v>
      </c>
      <c r="N8" s="2">
        <f t="shared" ref="N8:N15" si="4">AVERAGE(K8:M8)</f>
        <v>0.5</v>
      </c>
      <c r="O8" s="2">
        <f t="shared" ref="O8:O15" si="5">L8</f>
        <v>0</v>
      </c>
      <c r="P8" s="2">
        <f t="shared" ref="P8:P15" si="6">T8</f>
        <v>1</v>
      </c>
      <c r="Q8" s="2">
        <f t="shared" ref="Q8:Q15" si="7">AVERAGE(O8:P8)</f>
        <v>0.5</v>
      </c>
      <c r="R8" s="2">
        <v>0.5</v>
      </c>
      <c r="S8" s="2">
        <v>1</v>
      </c>
      <c r="T8" s="2">
        <v>1</v>
      </c>
      <c r="U8" s="2">
        <f t="shared" ref="U8:U15" si="8">AVERAGE(R8:T8)*2</f>
        <v>1.6666666666666667</v>
      </c>
      <c r="V8" s="2">
        <f t="shared" ref="V8:V15" si="9">O8</f>
        <v>0</v>
      </c>
      <c r="W8" s="2">
        <v>0.5</v>
      </c>
      <c r="X8" s="2">
        <f t="shared" ref="X8:X15" si="10">AM8/2</f>
        <v>1</v>
      </c>
      <c r="Y8" s="2">
        <f t="shared" ref="Y8:Y15" si="11">AVERAGE(V8:X8)*2</f>
        <v>1</v>
      </c>
      <c r="Z8" s="2">
        <v>1</v>
      </c>
      <c r="AA8" s="2">
        <f t="shared" ref="AA8:AA15" si="12">AL8/2</f>
        <v>1</v>
      </c>
      <c r="AB8" s="2">
        <v>1</v>
      </c>
      <c r="AC8" s="2">
        <v>1</v>
      </c>
      <c r="AD8" s="2">
        <v>1</v>
      </c>
      <c r="AE8" s="2">
        <f t="shared" ref="AE8:AE15" si="13">X8</f>
        <v>1</v>
      </c>
      <c r="AF8" s="2">
        <f t="shared" ref="AF8:AF15" si="14">AVERAGE(Z8:AE8)*2</f>
        <v>2</v>
      </c>
      <c r="AG8" s="2">
        <f t="shared" ref="AG8:AG15" si="15">V8</f>
        <v>0</v>
      </c>
      <c r="AH8" s="2">
        <f t="shared" ref="AH8:AH15" si="16">AA8</f>
        <v>1</v>
      </c>
      <c r="AI8" s="2">
        <f t="shared" ref="AI8:AI15" si="17">AE8</f>
        <v>1</v>
      </c>
      <c r="AJ8" s="2">
        <f t="shared" ref="AJ8:AJ15" si="18">AVERAGE(AG8:AI8)*2</f>
        <v>1.3333333333333333</v>
      </c>
      <c r="AK8" s="2">
        <v>0</v>
      </c>
      <c r="AL8" s="2">
        <v>2</v>
      </c>
      <c r="AM8" s="2">
        <v>2</v>
      </c>
      <c r="AN8" s="2">
        <f t="shared" si="0"/>
        <v>4</v>
      </c>
      <c r="AMJ8" s="8"/>
    </row>
    <row r="9" spans="1:1024" x14ac:dyDescent="0.25">
      <c r="A9" s="3" t="s">
        <v>12</v>
      </c>
      <c r="B9" s="3" t="s">
        <v>13</v>
      </c>
      <c r="C9" s="3">
        <v>0.5</v>
      </c>
      <c r="D9" s="3">
        <v>0</v>
      </c>
      <c r="E9" s="3">
        <v>1</v>
      </c>
      <c r="F9" s="3">
        <v>0</v>
      </c>
      <c r="G9" s="3">
        <v>0.75</v>
      </c>
      <c r="H9" s="3">
        <v>0</v>
      </c>
      <c r="I9" s="3">
        <f t="shared" si="1"/>
        <v>2.25</v>
      </c>
      <c r="J9" s="4">
        <f t="shared" si="2"/>
        <v>2</v>
      </c>
      <c r="K9" s="3">
        <v>1</v>
      </c>
      <c r="L9" s="3">
        <f t="shared" si="3"/>
        <v>0</v>
      </c>
      <c r="M9" s="3">
        <v>0</v>
      </c>
      <c r="N9" s="5">
        <f t="shared" si="4"/>
        <v>0.33333333333333331</v>
      </c>
      <c r="O9" s="3">
        <f t="shared" si="5"/>
        <v>0</v>
      </c>
      <c r="P9" s="3">
        <f t="shared" si="6"/>
        <v>0</v>
      </c>
      <c r="Q9" s="5">
        <f t="shared" si="7"/>
        <v>0</v>
      </c>
      <c r="R9" s="3">
        <v>0</v>
      </c>
      <c r="S9" s="3">
        <v>1</v>
      </c>
      <c r="U9" s="5">
        <f t="shared" si="8"/>
        <v>1</v>
      </c>
      <c r="V9" s="3">
        <f t="shared" si="9"/>
        <v>0</v>
      </c>
      <c r="W9" s="3">
        <v>0</v>
      </c>
      <c r="X9" s="3">
        <f t="shared" si="10"/>
        <v>0</v>
      </c>
      <c r="Y9" s="5">
        <f t="shared" si="11"/>
        <v>0</v>
      </c>
      <c r="Z9" s="3">
        <v>1</v>
      </c>
      <c r="AA9" s="3">
        <f t="shared" si="12"/>
        <v>0</v>
      </c>
      <c r="AB9" s="3">
        <v>1</v>
      </c>
      <c r="AC9" s="3">
        <v>0</v>
      </c>
      <c r="AD9" s="3">
        <v>0</v>
      </c>
      <c r="AE9" s="3">
        <f t="shared" si="13"/>
        <v>0</v>
      </c>
      <c r="AF9" s="5">
        <f t="shared" si="14"/>
        <v>0.66666666666666663</v>
      </c>
      <c r="AG9" s="3">
        <f t="shared" si="15"/>
        <v>0</v>
      </c>
      <c r="AH9" s="3">
        <f t="shared" si="16"/>
        <v>0</v>
      </c>
      <c r="AI9" s="3">
        <f t="shared" si="17"/>
        <v>0</v>
      </c>
      <c r="AJ9" s="5">
        <f t="shared" si="18"/>
        <v>0</v>
      </c>
      <c r="AK9" s="3">
        <v>0</v>
      </c>
      <c r="AN9" s="9">
        <f t="shared" si="0"/>
        <v>0</v>
      </c>
    </row>
    <row r="10" spans="1:1024" s="2" customFormat="1" x14ac:dyDescent="0.25">
      <c r="A10" s="2" t="s">
        <v>14</v>
      </c>
      <c r="B10" s="2" t="s">
        <v>15</v>
      </c>
      <c r="C10" s="2">
        <v>1</v>
      </c>
      <c r="D10" s="2">
        <v>0.5</v>
      </c>
      <c r="E10" s="2">
        <v>2</v>
      </c>
      <c r="F10" s="2">
        <v>1.5</v>
      </c>
      <c r="G10" s="2">
        <v>1.5</v>
      </c>
      <c r="H10" s="2">
        <v>1.5</v>
      </c>
      <c r="I10" s="2">
        <f t="shared" si="1"/>
        <v>8</v>
      </c>
      <c r="J10" s="7">
        <f t="shared" si="2"/>
        <v>7.4999999999999991</v>
      </c>
      <c r="K10" s="2">
        <v>1</v>
      </c>
      <c r="L10" s="2">
        <f t="shared" si="3"/>
        <v>1</v>
      </c>
      <c r="M10" s="2">
        <v>1</v>
      </c>
      <c r="N10" s="2">
        <f t="shared" si="4"/>
        <v>1</v>
      </c>
      <c r="O10" s="2">
        <f t="shared" si="5"/>
        <v>1</v>
      </c>
      <c r="P10" s="2">
        <f t="shared" si="6"/>
        <v>0</v>
      </c>
      <c r="Q10" s="2">
        <f t="shared" si="7"/>
        <v>0.5</v>
      </c>
      <c r="R10" s="2">
        <v>1</v>
      </c>
      <c r="S10" s="2">
        <v>1</v>
      </c>
      <c r="U10" s="2">
        <f t="shared" si="8"/>
        <v>2</v>
      </c>
      <c r="V10" s="2">
        <f t="shared" si="9"/>
        <v>1</v>
      </c>
      <c r="W10" s="2">
        <v>1</v>
      </c>
      <c r="X10" s="2">
        <f t="shared" si="10"/>
        <v>0</v>
      </c>
      <c r="Y10" s="2">
        <f t="shared" si="11"/>
        <v>1.3333333333333333</v>
      </c>
      <c r="Z10" s="2">
        <v>1</v>
      </c>
      <c r="AA10" s="2">
        <f t="shared" si="12"/>
        <v>1</v>
      </c>
      <c r="AB10" s="2">
        <v>1</v>
      </c>
      <c r="AC10" s="2">
        <v>1</v>
      </c>
      <c r="AD10" s="2">
        <v>0</v>
      </c>
      <c r="AE10" s="2">
        <f t="shared" si="13"/>
        <v>0</v>
      </c>
      <c r="AF10" s="2">
        <f t="shared" si="14"/>
        <v>1.3333333333333333</v>
      </c>
      <c r="AG10" s="2">
        <f t="shared" si="15"/>
        <v>1</v>
      </c>
      <c r="AH10" s="2">
        <f t="shared" si="16"/>
        <v>1</v>
      </c>
      <c r="AI10" s="2">
        <f t="shared" si="17"/>
        <v>0</v>
      </c>
      <c r="AJ10" s="2">
        <f t="shared" si="18"/>
        <v>1.3333333333333333</v>
      </c>
      <c r="AK10" s="2">
        <v>2</v>
      </c>
      <c r="AL10" s="2">
        <v>2</v>
      </c>
      <c r="AN10" s="2">
        <f t="shared" si="0"/>
        <v>4</v>
      </c>
      <c r="AMJ10" s="8"/>
    </row>
    <row r="11" spans="1:1024" x14ac:dyDescent="0.25">
      <c r="A11" s="3" t="s">
        <v>16</v>
      </c>
      <c r="B11" s="3" t="s">
        <v>17</v>
      </c>
      <c r="C11" s="3">
        <v>0.75</v>
      </c>
      <c r="D11" s="3">
        <v>0.75</v>
      </c>
      <c r="E11" s="3">
        <v>1.75</v>
      </c>
      <c r="F11" s="3">
        <v>0.75</v>
      </c>
      <c r="G11" s="3">
        <v>1.75</v>
      </c>
      <c r="H11" s="3">
        <v>1</v>
      </c>
      <c r="I11" s="3">
        <f t="shared" si="1"/>
        <v>6.75</v>
      </c>
      <c r="J11" s="4">
        <f t="shared" si="2"/>
        <v>6.4166666666666661</v>
      </c>
      <c r="K11" s="3">
        <v>1</v>
      </c>
      <c r="L11" s="3">
        <f t="shared" si="3"/>
        <v>0.5</v>
      </c>
      <c r="M11" s="3">
        <v>0.5</v>
      </c>
      <c r="N11" s="5">
        <f t="shared" si="4"/>
        <v>0.66666666666666663</v>
      </c>
      <c r="O11" s="3">
        <f t="shared" si="5"/>
        <v>0.5</v>
      </c>
      <c r="P11" s="3">
        <f t="shared" si="6"/>
        <v>1</v>
      </c>
      <c r="Q11" s="5">
        <f t="shared" si="7"/>
        <v>0.75</v>
      </c>
      <c r="R11" s="3">
        <v>0.5</v>
      </c>
      <c r="S11" s="3">
        <v>1</v>
      </c>
      <c r="T11" s="3">
        <v>1</v>
      </c>
      <c r="U11" s="5">
        <f t="shared" si="8"/>
        <v>1.6666666666666667</v>
      </c>
      <c r="V11" s="3">
        <f t="shared" si="9"/>
        <v>0.5</v>
      </c>
      <c r="W11" s="3">
        <v>0.5</v>
      </c>
      <c r="X11" s="3">
        <f t="shared" si="10"/>
        <v>0</v>
      </c>
      <c r="Y11" s="5">
        <f t="shared" si="11"/>
        <v>0.66666666666666663</v>
      </c>
      <c r="Z11" s="3">
        <v>1</v>
      </c>
      <c r="AA11" s="3">
        <f t="shared" si="12"/>
        <v>1</v>
      </c>
      <c r="AB11" s="3">
        <v>1</v>
      </c>
      <c r="AC11" s="3">
        <v>1</v>
      </c>
      <c r="AD11" s="3">
        <v>1</v>
      </c>
      <c r="AE11" s="3">
        <f t="shared" si="13"/>
        <v>0</v>
      </c>
      <c r="AF11" s="5">
        <f t="shared" si="14"/>
        <v>1.6666666666666667</v>
      </c>
      <c r="AG11" s="3">
        <f t="shared" si="15"/>
        <v>0.5</v>
      </c>
      <c r="AH11" s="3">
        <f t="shared" si="16"/>
        <v>1</v>
      </c>
      <c r="AI11" s="3">
        <f t="shared" si="17"/>
        <v>0</v>
      </c>
      <c r="AJ11" s="5">
        <f t="shared" si="18"/>
        <v>1</v>
      </c>
      <c r="AK11" s="3">
        <v>1</v>
      </c>
      <c r="AL11" s="3">
        <v>2</v>
      </c>
      <c r="AM11" s="3">
        <v>0</v>
      </c>
      <c r="AN11" s="9">
        <f t="shared" si="0"/>
        <v>3</v>
      </c>
    </row>
    <row r="12" spans="1:1024" s="2" customFormat="1" x14ac:dyDescent="0.25">
      <c r="A12" s="2" t="s">
        <v>18</v>
      </c>
      <c r="B12" s="2" t="s">
        <v>19</v>
      </c>
      <c r="C12" s="2">
        <v>1</v>
      </c>
      <c r="D12" s="2">
        <v>1</v>
      </c>
      <c r="E12" s="2">
        <v>1.75</v>
      </c>
      <c r="F12" s="2">
        <v>1</v>
      </c>
      <c r="G12" s="2">
        <v>1.5</v>
      </c>
      <c r="H12" s="2">
        <v>1.5</v>
      </c>
      <c r="I12" s="2">
        <f t="shared" si="1"/>
        <v>7.75</v>
      </c>
      <c r="J12" s="7">
        <f t="shared" si="2"/>
        <v>7.333333333333333</v>
      </c>
      <c r="K12" s="2">
        <v>1</v>
      </c>
      <c r="L12" s="2">
        <f t="shared" si="3"/>
        <v>1</v>
      </c>
      <c r="M12" s="2">
        <v>0.5</v>
      </c>
      <c r="N12" s="2">
        <f t="shared" si="4"/>
        <v>0.83333333333333337</v>
      </c>
      <c r="O12" s="2">
        <f t="shared" si="5"/>
        <v>1</v>
      </c>
      <c r="P12" s="2">
        <f t="shared" si="6"/>
        <v>1</v>
      </c>
      <c r="Q12" s="2">
        <f t="shared" si="7"/>
        <v>1</v>
      </c>
      <c r="R12" s="2">
        <v>0.5</v>
      </c>
      <c r="S12" s="2">
        <v>1</v>
      </c>
      <c r="T12" s="2">
        <v>1</v>
      </c>
      <c r="U12" s="2">
        <f t="shared" si="8"/>
        <v>1.6666666666666667</v>
      </c>
      <c r="V12" s="2">
        <f t="shared" si="9"/>
        <v>1</v>
      </c>
      <c r="W12" s="2">
        <v>0.5</v>
      </c>
      <c r="X12" s="2">
        <f t="shared" si="10"/>
        <v>0</v>
      </c>
      <c r="Y12" s="2">
        <f t="shared" si="11"/>
        <v>1</v>
      </c>
      <c r="Z12" s="2">
        <v>1</v>
      </c>
      <c r="AA12" s="2">
        <f t="shared" si="12"/>
        <v>1</v>
      </c>
      <c r="AB12" s="2">
        <v>0.5</v>
      </c>
      <c r="AC12" s="2">
        <v>1</v>
      </c>
      <c r="AD12" s="2">
        <v>1</v>
      </c>
      <c r="AE12" s="2">
        <f t="shared" si="13"/>
        <v>0</v>
      </c>
      <c r="AF12" s="2">
        <f t="shared" si="14"/>
        <v>1.5</v>
      </c>
      <c r="AG12" s="2">
        <f t="shared" si="15"/>
        <v>1</v>
      </c>
      <c r="AH12" s="2">
        <f t="shared" si="16"/>
        <v>1</v>
      </c>
      <c r="AI12" s="2">
        <f t="shared" si="17"/>
        <v>0</v>
      </c>
      <c r="AJ12" s="2">
        <f t="shared" si="18"/>
        <v>1.3333333333333333</v>
      </c>
      <c r="AK12" s="2">
        <v>2</v>
      </c>
      <c r="AL12" s="2">
        <v>2</v>
      </c>
      <c r="AM12" s="2">
        <v>0</v>
      </c>
      <c r="AN12" s="2">
        <f t="shared" si="0"/>
        <v>4</v>
      </c>
      <c r="AMJ12" s="8"/>
    </row>
    <row r="13" spans="1:1024" x14ac:dyDescent="0.25">
      <c r="A13" s="3" t="s">
        <v>20</v>
      </c>
      <c r="B13" s="3" t="s">
        <v>21</v>
      </c>
      <c r="C13" s="3">
        <v>0.5</v>
      </c>
      <c r="D13" s="3">
        <v>0</v>
      </c>
      <c r="E13" s="3">
        <v>1.5</v>
      </c>
      <c r="F13" s="3">
        <v>0.5</v>
      </c>
      <c r="G13" s="3">
        <v>1</v>
      </c>
      <c r="H13" s="3">
        <v>0.75</v>
      </c>
      <c r="I13" s="3">
        <f t="shared" si="1"/>
        <v>4.25</v>
      </c>
      <c r="J13" s="4">
        <f t="shared" si="2"/>
        <v>4</v>
      </c>
      <c r="K13" s="3">
        <v>1</v>
      </c>
      <c r="L13" s="3">
        <f t="shared" si="3"/>
        <v>0</v>
      </c>
      <c r="M13" s="3">
        <v>0.5</v>
      </c>
      <c r="N13" s="5">
        <f t="shared" si="4"/>
        <v>0.5</v>
      </c>
      <c r="O13" s="3">
        <f t="shared" si="5"/>
        <v>0</v>
      </c>
      <c r="P13" s="3">
        <f t="shared" si="6"/>
        <v>0</v>
      </c>
      <c r="Q13" s="5">
        <f t="shared" si="7"/>
        <v>0</v>
      </c>
      <c r="R13" s="3">
        <v>0.5</v>
      </c>
      <c r="S13" s="3">
        <v>1</v>
      </c>
      <c r="U13" s="5">
        <f t="shared" si="8"/>
        <v>1.5</v>
      </c>
      <c r="V13" s="3">
        <f t="shared" si="9"/>
        <v>0</v>
      </c>
      <c r="W13" s="3">
        <v>0.5</v>
      </c>
      <c r="X13" s="3">
        <f t="shared" si="10"/>
        <v>0</v>
      </c>
      <c r="Y13" s="5">
        <f t="shared" si="11"/>
        <v>0.33333333333333331</v>
      </c>
      <c r="Z13" s="3">
        <v>1</v>
      </c>
      <c r="AA13" s="3">
        <f t="shared" si="12"/>
        <v>1</v>
      </c>
      <c r="AB13" s="3">
        <v>0</v>
      </c>
      <c r="AC13" s="3">
        <v>0</v>
      </c>
      <c r="AD13" s="3">
        <v>1</v>
      </c>
      <c r="AE13" s="3">
        <f t="shared" si="13"/>
        <v>0</v>
      </c>
      <c r="AF13" s="5">
        <f t="shared" si="14"/>
        <v>1</v>
      </c>
      <c r="AG13" s="3">
        <f t="shared" si="15"/>
        <v>0</v>
      </c>
      <c r="AH13" s="3">
        <f t="shared" si="16"/>
        <v>1</v>
      </c>
      <c r="AI13" s="3">
        <f t="shared" si="17"/>
        <v>0</v>
      </c>
      <c r="AJ13" s="5">
        <f t="shared" si="18"/>
        <v>0.66666666666666663</v>
      </c>
      <c r="AL13" s="3">
        <v>2</v>
      </c>
      <c r="AN13" s="9">
        <f t="shared" si="0"/>
        <v>2</v>
      </c>
    </row>
    <row r="14" spans="1:1024" s="2" customFormat="1" x14ac:dyDescent="0.25">
      <c r="A14" s="2" t="s">
        <v>22</v>
      </c>
      <c r="B14" s="2" t="s">
        <v>23</v>
      </c>
      <c r="C14" s="2">
        <v>0.5</v>
      </c>
      <c r="D14" s="2">
        <v>0</v>
      </c>
      <c r="E14" s="2">
        <v>0.5</v>
      </c>
      <c r="F14" s="2">
        <v>1</v>
      </c>
      <c r="G14" s="2">
        <v>2</v>
      </c>
      <c r="H14" s="2">
        <v>1.5</v>
      </c>
      <c r="I14" s="2">
        <f t="shared" si="1"/>
        <v>5.5</v>
      </c>
      <c r="J14" s="7">
        <f t="shared" si="2"/>
        <v>5.333333333333333</v>
      </c>
      <c r="K14" s="2">
        <v>1</v>
      </c>
      <c r="L14" s="2">
        <f t="shared" si="3"/>
        <v>0</v>
      </c>
      <c r="M14" s="2">
        <v>0.5</v>
      </c>
      <c r="N14" s="2">
        <f t="shared" si="4"/>
        <v>0.5</v>
      </c>
      <c r="O14" s="2">
        <f t="shared" si="5"/>
        <v>0</v>
      </c>
      <c r="P14" s="2">
        <f t="shared" si="6"/>
        <v>0</v>
      </c>
      <c r="Q14" s="2">
        <f t="shared" si="7"/>
        <v>0</v>
      </c>
      <c r="R14" s="2">
        <v>0.5</v>
      </c>
      <c r="S14" s="2">
        <v>0</v>
      </c>
      <c r="U14" s="2">
        <f t="shared" si="8"/>
        <v>0.5</v>
      </c>
      <c r="V14" s="2">
        <f t="shared" si="9"/>
        <v>0</v>
      </c>
      <c r="W14" s="2">
        <v>0.5</v>
      </c>
      <c r="X14" s="2">
        <f t="shared" si="10"/>
        <v>1</v>
      </c>
      <c r="Y14" s="2">
        <f t="shared" si="11"/>
        <v>1</v>
      </c>
      <c r="Z14" s="2">
        <v>1</v>
      </c>
      <c r="AA14" s="2">
        <f t="shared" si="12"/>
        <v>1</v>
      </c>
      <c r="AB14" s="2">
        <v>1</v>
      </c>
      <c r="AC14" s="2">
        <v>1</v>
      </c>
      <c r="AD14" s="2">
        <v>1</v>
      </c>
      <c r="AE14" s="2">
        <f t="shared" si="13"/>
        <v>1</v>
      </c>
      <c r="AF14" s="2">
        <f t="shared" si="14"/>
        <v>2</v>
      </c>
      <c r="AG14" s="2">
        <f t="shared" si="15"/>
        <v>0</v>
      </c>
      <c r="AH14" s="2">
        <f t="shared" si="16"/>
        <v>1</v>
      </c>
      <c r="AI14" s="2">
        <f t="shared" si="17"/>
        <v>1</v>
      </c>
      <c r="AJ14" s="2">
        <f t="shared" si="18"/>
        <v>1.3333333333333333</v>
      </c>
      <c r="AK14" s="2">
        <v>0</v>
      </c>
      <c r="AL14" s="2">
        <v>2</v>
      </c>
      <c r="AM14" s="2">
        <v>2</v>
      </c>
      <c r="AN14" s="2">
        <f t="shared" si="0"/>
        <v>4</v>
      </c>
      <c r="AMJ14" s="8"/>
    </row>
    <row r="15" spans="1:1024" x14ac:dyDescent="0.25">
      <c r="A15" s="3" t="s">
        <v>24</v>
      </c>
      <c r="B15" s="3" t="s">
        <v>25</v>
      </c>
      <c r="C15" s="3">
        <v>1</v>
      </c>
      <c r="D15" s="3">
        <v>0.5</v>
      </c>
      <c r="E15" s="3">
        <v>1.5</v>
      </c>
      <c r="F15" s="3">
        <v>1.75</v>
      </c>
      <c r="G15" s="3">
        <v>1.5</v>
      </c>
      <c r="H15" s="3">
        <v>1.75</v>
      </c>
      <c r="I15" s="3">
        <f t="shared" si="1"/>
        <v>8</v>
      </c>
      <c r="J15" s="4">
        <f t="shared" si="2"/>
        <v>7.666666666666667</v>
      </c>
      <c r="K15" s="3">
        <v>1</v>
      </c>
      <c r="L15" s="3">
        <f t="shared" si="3"/>
        <v>1</v>
      </c>
      <c r="M15" s="3">
        <v>0.5</v>
      </c>
      <c r="N15" s="5">
        <f t="shared" si="4"/>
        <v>0.83333333333333337</v>
      </c>
      <c r="O15" s="3">
        <f t="shared" si="5"/>
        <v>1</v>
      </c>
      <c r="P15" s="3">
        <f t="shared" si="6"/>
        <v>0</v>
      </c>
      <c r="Q15" s="5">
        <f t="shared" si="7"/>
        <v>0.5</v>
      </c>
      <c r="R15" s="3">
        <v>0.5</v>
      </c>
      <c r="S15" s="3">
        <v>1</v>
      </c>
      <c r="U15" s="5">
        <f t="shared" si="8"/>
        <v>1.5</v>
      </c>
      <c r="V15" s="3">
        <f t="shared" si="9"/>
        <v>1</v>
      </c>
      <c r="W15" s="3">
        <v>0.5</v>
      </c>
      <c r="X15" s="3">
        <f t="shared" si="10"/>
        <v>1</v>
      </c>
      <c r="Y15" s="5">
        <f t="shared" si="11"/>
        <v>1.6666666666666667</v>
      </c>
      <c r="Z15" s="3">
        <v>1</v>
      </c>
      <c r="AA15" s="3">
        <f t="shared" si="12"/>
        <v>0.5</v>
      </c>
      <c r="AB15" s="3">
        <v>1</v>
      </c>
      <c r="AC15" s="3">
        <v>0</v>
      </c>
      <c r="AD15" s="3">
        <v>1</v>
      </c>
      <c r="AE15" s="3">
        <f t="shared" si="13"/>
        <v>1</v>
      </c>
      <c r="AF15" s="5">
        <f t="shared" si="14"/>
        <v>1.5</v>
      </c>
      <c r="AG15" s="3">
        <f t="shared" si="15"/>
        <v>1</v>
      </c>
      <c r="AH15" s="3">
        <f t="shared" si="16"/>
        <v>0.5</v>
      </c>
      <c r="AI15" s="3">
        <f t="shared" si="17"/>
        <v>1</v>
      </c>
      <c r="AJ15" s="5">
        <f t="shared" si="18"/>
        <v>1.6666666666666667</v>
      </c>
      <c r="AK15" s="3">
        <v>2</v>
      </c>
      <c r="AL15" s="3">
        <v>1</v>
      </c>
      <c r="AM15" s="3">
        <v>2</v>
      </c>
      <c r="AN15" s="9">
        <f t="shared" si="0"/>
        <v>5</v>
      </c>
    </row>
    <row r="16" spans="1:1024" s="2" customFormat="1" x14ac:dyDescent="0.25">
      <c r="A16" s="2" t="s">
        <v>26</v>
      </c>
      <c r="B16" s="2" t="s">
        <v>27</v>
      </c>
      <c r="J16" s="7"/>
      <c r="AN16" s="2">
        <f t="shared" si="0"/>
        <v>0</v>
      </c>
      <c r="AMJ16" s="8"/>
    </row>
    <row r="17" spans="1:1024" x14ac:dyDescent="0.25">
      <c r="A17" s="3" t="s">
        <v>28</v>
      </c>
      <c r="B17" s="3" t="s">
        <v>29</v>
      </c>
      <c r="C17" s="3">
        <v>1</v>
      </c>
      <c r="D17" s="3">
        <v>1</v>
      </c>
      <c r="E17" s="3">
        <v>2</v>
      </c>
      <c r="F17" s="3">
        <v>2</v>
      </c>
      <c r="G17" s="3">
        <v>2</v>
      </c>
      <c r="H17" s="3">
        <v>2</v>
      </c>
      <c r="I17" s="3">
        <f t="shared" ref="I17:I29" si="19">SUM(C17:H17)</f>
        <v>10</v>
      </c>
      <c r="J17" s="4">
        <f t="shared" ref="J17:J29" si="20">N17+Q17+U17+Y17+AF17+AJ17</f>
        <v>10</v>
      </c>
      <c r="K17" s="3">
        <v>1</v>
      </c>
      <c r="L17" s="3">
        <f t="shared" ref="L17:L29" si="21">AK17/2</f>
        <v>1</v>
      </c>
      <c r="M17" s="3">
        <v>1</v>
      </c>
      <c r="N17" s="5">
        <f t="shared" ref="N17:N29" si="22">AVERAGE(K17:M17)</f>
        <v>1</v>
      </c>
      <c r="O17" s="3">
        <f t="shared" ref="O17:O29" si="23">L17</f>
        <v>1</v>
      </c>
      <c r="P17" s="3">
        <f t="shared" ref="P17:P29" si="24">T17</f>
        <v>1</v>
      </c>
      <c r="Q17" s="5">
        <f t="shared" ref="Q17:Q29" si="25">AVERAGE(O17:P17)</f>
        <v>1</v>
      </c>
      <c r="R17" s="3">
        <v>1</v>
      </c>
      <c r="S17" s="3">
        <v>1</v>
      </c>
      <c r="T17" s="3">
        <v>1</v>
      </c>
      <c r="U17" s="5">
        <f t="shared" ref="U17:U29" si="26">AVERAGE(R17:T17)*2</f>
        <v>2</v>
      </c>
      <c r="V17" s="3">
        <f t="shared" ref="V17:V29" si="27">O17</f>
        <v>1</v>
      </c>
      <c r="W17" s="3">
        <v>1</v>
      </c>
      <c r="X17" s="3">
        <f t="shared" ref="X17:X29" si="28">AM17/2</f>
        <v>1</v>
      </c>
      <c r="Y17" s="5">
        <f t="shared" ref="Y17:Y29" si="29">AVERAGE(V17:X17)*2</f>
        <v>2</v>
      </c>
      <c r="Z17" s="3">
        <v>1</v>
      </c>
      <c r="AA17" s="3">
        <f t="shared" ref="AA17:AA29" si="30">AL17/2</f>
        <v>1</v>
      </c>
      <c r="AB17" s="3">
        <v>1</v>
      </c>
      <c r="AC17" s="3">
        <v>1</v>
      </c>
      <c r="AD17" s="3">
        <v>1</v>
      </c>
      <c r="AE17" s="3">
        <f t="shared" ref="AE17:AE29" si="31">X17</f>
        <v>1</v>
      </c>
      <c r="AF17" s="5">
        <f t="shared" ref="AF17:AF29" si="32">AVERAGE(Z17:AE17)*2</f>
        <v>2</v>
      </c>
      <c r="AG17" s="3">
        <f t="shared" ref="AG17:AG29" si="33">V17</f>
        <v>1</v>
      </c>
      <c r="AH17" s="3">
        <f t="shared" ref="AH17:AH29" si="34">AA17</f>
        <v>1</v>
      </c>
      <c r="AI17" s="3">
        <f t="shared" ref="AI17:AI29" si="35">AE17</f>
        <v>1</v>
      </c>
      <c r="AJ17" s="5">
        <f t="shared" ref="AJ17:AJ29" si="36">AVERAGE(AG17:AI17)*2</f>
        <v>2</v>
      </c>
      <c r="AK17" s="3">
        <v>2</v>
      </c>
      <c r="AL17" s="3">
        <v>2</v>
      </c>
      <c r="AM17" s="3">
        <v>2</v>
      </c>
      <c r="AN17" s="9">
        <f t="shared" si="0"/>
        <v>6</v>
      </c>
    </row>
    <row r="18" spans="1:1024" s="2" customFormat="1" x14ac:dyDescent="0.25">
      <c r="A18" s="2" t="s">
        <v>30</v>
      </c>
      <c r="B18" s="2" t="s">
        <v>7</v>
      </c>
      <c r="C18" s="2">
        <v>0.5</v>
      </c>
      <c r="D18" s="2">
        <v>0</v>
      </c>
      <c r="E18" s="2">
        <v>0.5</v>
      </c>
      <c r="F18" s="2">
        <v>0</v>
      </c>
      <c r="G18" s="2">
        <v>1</v>
      </c>
      <c r="H18" s="2">
        <v>0</v>
      </c>
      <c r="I18" s="2">
        <f t="shared" si="19"/>
        <v>2</v>
      </c>
      <c r="J18" s="7">
        <f t="shared" si="20"/>
        <v>1.8333333333333333</v>
      </c>
      <c r="K18" s="2">
        <v>1</v>
      </c>
      <c r="L18" s="2">
        <f t="shared" si="21"/>
        <v>0</v>
      </c>
      <c r="M18" s="2">
        <v>0</v>
      </c>
      <c r="N18" s="2">
        <f t="shared" si="22"/>
        <v>0.33333333333333331</v>
      </c>
      <c r="O18" s="2">
        <f t="shared" si="23"/>
        <v>0</v>
      </c>
      <c r="P18" s="2">
        <f t="shared" si="24"/>
        <v>0</v>
      </c>
      <c r="Q18" s="2">
        <f t="shared" si="25"/>
        <v>0</v>
      </c>
      <c r="R18" s="2">
        <v>0</v>
      </c>
      <c r="S18" s="2">
        <v>0.5</v>
      </c>
      <c r="U18" s="2">
        <f t="shared" si="26"/>
        <v>0.5</v>
      </c>
      <c r="V18" s="2">
        <f t="shared" si="27"/>
        <v>0</v>
      </c>
      <c r="W18" s="2">
        <v>0</v>
      </c>
      <c r="X18" s="2">
        <f t="shared" si="28"/>
        <v>0</v>
      </c>
      <c r="Y18" s="2">
        <f t="shared" si="29"/>
        <v>0</v>
      </c>
      <c r="Z18" s="2">
        <v>1</v>
      </c>
      <c r="AA18" s="2">
        <f t="shared" si="30"/>
        <v>0</v>
      </c>
      <c r="AB18" s="2">
        <v>1</v>
      </c>
      <c r="AC18" s="2">
        <v>0</v>
      </c>
      <c r="AD18" s="2">
        <v>1</v>
      </c>
      <c r="AE18" s="2">
        <f t="shared" si="31"/>
        <v>0</v>
      </c>
      <c r="AF18" s="2">
        <f t="shared" si="32"/>
        <v>1</v>
      </c>
      <c r="AG18" s="2">
        <f t="shared" si="33"/>
        <v>0</v>
      </c>
      <c r="AH18" s="2">
        <f t="shared" si="34"/>
        <v>0</v>
      </c>
      <c r="AI18" s="2">
        <f t="shared" si="35"/>
        <v>0</v>
      </c>
      <c r="AJ18" s="2">
        <f t="shared" si="36"/>
        <v>0</v>
      </c>
      <c r="AN18" s="2">
        <f t="shared" si="0"/>
        <v>0</v>
      </c>
      <c r="AMJ18" s="8"/>
    </row>
    <row r="19" spans="1:1024" x14ac:dyDescent="0.25">
      <c r="A19" s="3" t="s">
        <v>31</v>
      </c>
      <c r="B19" s="3" t="s">
        <v>32</v>
      </c>
      <c r="C19" s="3">
        <v>0.5</v>
      </c>
      <c r="D19" s="3">
        <v>0</v>
      </c>
      <c r="E19" s="3">
        <v>0</v>
      </c>
      <c r="F19" s="3">
        <v>0</v>
      </c>
      <c r="G19" s="3">
        <v>0.75</v>
      </c>
      <c r="H19" s="3">
        <v>0</v>
      </c>
      <c r="I19" s="3">
        <f t="shared" si="19"/>
        <v>1.25</v>
      </c>
      <c r="J19" s="4">
        <f t="shared" si="20"/>
        <v>1</v>
      </c>
      <c r="K19" s="3">
        <v>1</v>
      </c>
      <c r="L19" s="3">
        <f t="shared" si="21"/>
        <v>0</v>
      </c>
      <c r="M19" s="3">
        <v>0</v>
      </c>
      <c r="N19" s="5">
        <f t="shared" si="22"/>
        <v>0.33333333333333331</v>
      </c>
      <c r="O19" s="3">
        <f t="shared" si="23"/>
        <v>0</v>
      </c>
      <c r="P19" s="3">
        <f t="shared" si="24"/>
        <v>0</v>
      </c>
      <c r="Q19" s="5">
        <f t="shared" si="25"/>
        <v>0</v>
      </c>
      <c r="R19" s="3">
        <v>0</v>
      </c>
      <c r="S19" s="3">
        <v>0</v>
      </c>
      <c r="U19" s="5">
        <f t="shared" si="26"/>
        <v>0</v>
      </c>
      <c r="V19" s="3">
        <f t="shared" si="27"/>
        <v>0</v>
      </c>
      <c r="W19" s="3">
        <v>0</v>
      </c>
      <c r="X19" s="3">
        <f t="shared" si="28"/>
        <v>0</v>
      </c>
      <c r="Y19" s="5">
        <f t="shared" si="29"/>
        <v>0</v>
      </c>
      <c r="Z19" s="3">
        <v>1</v>
      </c>
      <c r="AA19" s="3">
        <f t="shared" si="30"/>
        <v>0</v>
      </c>
      <c r="AB19" s="3">
        <v>0</v>
      </c>
      <c r="AC19" s="3">
        <v>0</v>
      </c>
      <c r="AD19" s="3">
        <v>1</v>
      </c>
      <c r="AE19" s="3">
        <f t="shared" si="31"/>
        <v>0</v>
      </c>
      <c r="AF19" s="5">
        <f t="shared" si="32"/>
        <v>0.66666666666666663</v>
      </c>
      <c r="AG19" s="3">
        <f t="shared" si="33"/>
        <v>0</v>
      </c>
      <c r="AH19" s="3">
        <f t="shared" si="34"/>
        <v>0</v>
      </c>
      <c r="AI19" s="3">
        <f t="shared" si="35"/>
        <v>0</v>
      </c>
      <c r="AJ19" s="5">
        <f t="shared" si="36"/>
        <v>0</v>
      </c>
      <c r="AK19" s="10">
        <v>0</v>
      </c>
      <c r="AL19" s="10">
        <v>0</v>
      </c>
      <c r="AM19" s="10"/>
      <c r="AN19" s="9">
        <f t="shared" si="0"/>
        <v>0</v>
      </c>
    </row>
    <row r="20" spans="1:1024" s="2" customFormat="1" x14ac:dyDescent="0.25">
      <c r="A20" s="2" t="s">
        <v>33</v>
      </c>
      <c r="B20" s="2" t="s">
        <v>25</v>
      </c>
      <c r="C20" s="2">
        <v>0.5</v>
      </c>
      <c r="D20" s="2">
        <v>0.75</v>
      </c>
      <c r="E20" s="2">
        <v>1.5</v>
      </c>
      <c r="F20" s="2">
        <v>0.75</v>
      </c>
      <c r="G20" s="2">
        <v>1.75</v>
      </c>
      <c r="H20" s="2">
        <v>1</v>
      </c>
      <c r="I20" s="2">
        <f t="shared" si="19"/>
        <v>6.25</v>
      </c>
      <c r="J20" s="7">
        <f t="shared" si="20"/>
        <v>5.9166666666666661</v>
      </c>
      <c r="K20" s="2">
        <v>1</v>
      </c>
      <c r="L20" s="2">
        <f t="shared" si="21"/>
        <v>0.5</v>
      </c>
      <c r="M20" s="2">
        <v>0</v>
      </c>
      <c r="N20" s="2">
        <f t="shared" si="22"/>
        <v>0.5</v>
      </c>
      <c r="O20" s="2">
        <f t="shared" si="23"/>
        <v>0.5</v>
      </c>
      <c r="P20" s="2">
        <f t="shared" si="24"/>
        <v>1</v>
      </c>
      <c r="Q20" s="2">
        <f t="shared" si="25"/>
        <v>0.75</v>
      </c>
      <c r="R20" s="2">
        <v>0</v>
      </c>
      <c r="S20" s="2">
        <v>1</v>
      </c>
      <c r="T20" s="2">
        <v>1</v>
      </c>
      <c r="U20" s="2">
        <f t="shared" si="26"/>
        <v>1.3333333333333333</v>
      </c>
      <c r="V20" s="2">
        <f t="shared" si="27"/>
        <v>0.5</v>
      </c>
      <c r="W20" s="2">
        <v>0</v>
      </c>
      <c r="X20" s="2">
        <f t="shared" si="28"/>
        <v>0.5</v>
      </c>
      <c r="Y20" s="2">
        <f t="shared" si="29"/>
        <v>0.66666666666666663</v>
      </c>
      <c r="Z20" s="2">
        <v>1</v>
      </c>
      <c r="AA20" s="2">
        <f t="shared" si="30"/>
        <v>0.5</v>
      </c>
      <c r="AB20" s="2">
        <v>1</v>
      </c>
      <c r="AC20" s="2">
        <v>1</v>
      </c>
      <c r="AD20" s="2">
        <v>1</v>
      </c>
      <c r="AE20" s="2">
        <f t="shared" si="31"/>
        <v>0.5</v>
      </c>
      <c r="AF20" s="2">
        <f t="shared" si="32"/>
        <v>1.6666666666666667</v>
      </c>
      <c r="AG20" s="2">
        <f t="shared" si="33"/>
        <v>0.5</v>
      </c>
      <c r="AH20" s="2">
        <f t="shared" si="34"/>
        <v>0.5</v>
      </c>
      <c r="AI20" s="2">
        <f t="shared" si="35"/>
        <v>0.5</v>
      </c>
      <c r="AJ20" s="2">
        <f t="shared" si="36"/>
        <v>1</v>
      </c>
      <c r="AK20" s="2">
        <v>1</v>
      </c>
      <c r="AL20" s="2">
        <v>1</v>
      </c>
      <c r="AM20" s="2">
        <v>1</v>
      </c>
      <c r="AN20" s="2">
        <f t="shared" si="0"/>
        <v>3</v>
      </c>
      <c r="AMJ20" s="8"/>
    </row>
    <row r="21" spans="1:1024" x14ac:dyDescent="0.25">
      <c r="A21" s="3" t="s">
        <v>34</v>
      </c>
      <c r="B21" s="3" t="s">
        <v>35</v>
      </c>
      <c r="C21" s="3">
        <v>0.5</v>
      </c>
      <c r="D21" s="3">
        <v>0</v>
      </c>
      <c r="E21" s="3">
        <v>0</v>
      </c>
      <c r="F21" s="3">
        <v>0</v>
      </c>
      <c r="G21" s="3">
        <v>0.75</v>
      </c>
      <c r="H21" s="3">
        <v>0</v>
      </c>
      <c r="I21" s="3">
        <f t="shared" si="19"/>
        <v>1.25</v>
      </c>
      <c r="J21" s="4">
        <f t="shared" si="20"/>
        <v>1</v>
      </c>
      <c r="K21" s="3">
        <v>1</v>
      </c>
      <c r="L21" s="3">
        <f t="shared" si="21"/>
        <v>0</v>
      </c>
      <c r="M21" s="3">
        <v>0</v>
      </c>
      <c r="N21" s="5">
        <f t="shared" si="22"/>
        <v>0.33333333333333331</v>
      </c>
      <c r="O21" s="3">
        <f t="shared" si="23"/>
        <v>0</v>
      </c>
      <c r="P21" s="3">
        <f t="shared" si="24"/>
        <v>0</v>
      </c>
      <c r="Q21" s="5">
        <f t="shared" si="25"/>
        <v>0</v>
      </c>
      <c r="R21" s="3">
        <v>0</v>
      </c>
      <c r="S21" s="3">
        <v>0</v>
      </c>
      <c r="U21" s="5">
        <f t="shared" si="26"/>
        <v>0</v>
      </c>
      <c r="V21" s="3">
        <f t="shared" si="27"/>
        <v>0</v>
      </c>
      <c r="W21" s="3">
        <v>0</v>
      </c>
      <c r="X21" s="3">
        <f t="shared" si="28"/>
        <v>0</v>
      </c>
      <c r="Y21" s="5">
        <f t="shared" si="29"/>
        <v>0</v>
      </c>
      <c r="Z21" s="3">
        <v>1</v>
      </c>
      <c r="AA21" s="3">
        <f t="shared" si="30"/>
        <v>0</v>
      </c>
      <c r="AB21" s="3">
        <v>0</v>
      </c>
      <c r="AC21" s="3">
        <v>1</v>
      </c>
      <c r="AD21" s="3">
        <v>0</v>
      </c>
      <c r="AE21" s="3">
        <f t="shared" si="31"/>
        <v>0</v>
      </c>
      <c r="AF21" s="5">
        <f t="shared" si="32"/>
        <v>0.66666666666666663</v>
      </c>
      <c r="AG21" s="3">
        <f t="shared" si="33"/>
        <v>0</v>
      </c>
      <c r="AH21" s="3">
        <f t="shared" si="34"/>
        <v>0</v>
      </c>
      <c r="AI21" s="3">
        <f t="shared" si="35"/>
        <v>0</v>
      </c>
      <c r="AJ21" s="5">
        <f t="shared" si="36"/>
        <v>0</v>
      </c>
      <c r="AK21" s="10">
        <v>0</v>
      </c>
      <c r="AL21" s="10">
        <v>0</v>
      </c>
      <c r="AM21" s="10">
        <v>0</v>
      </c>
      <c r="AN21" s="9">
        <f t="shared" si="0"/>
        <v>0</v>
      </c>
    </row>
    <row r="22" spans="1:1024" s="2" customFormat="1" x14ac:dyDescent="0.25">
      <c r="A22" s="2" t="s">
        <v>36</v>
      </c>
      <c r="B22" s="2" t="s">
        <v>37</v>
      </c>
      <c r="C22" s="2">
        <v>0.75</v>
      </c>
      <c r="D22" s="2">
        <v>0.75</v>
      </c>
      <c r="E22" s="2">
        <v>1.75</v>
      </c>
      <c r="F22" s="2">
        <v>1.5</v>
      </c>
      <c r="G22" s="2">
        <v>2</v>
      </c>
      <c r="H22" s="2">
        <v>1.75</v>
      </c>
      <c r="I22" s="2">
        <f t="shared" si="19"/>
        <v>8.5</v>
      </c>
      <c r="J22" s="7">
        <f t="shared" si="20"/>
        <v>8.0833333333333321</v>
      </c>
      <c r="K22" s="2">
        <v>1</v>
      </c>
      <c r="L22" s="2">
        <f t="shared" si="21"/>
        <v>0.5</v>
      </c>
      <c r="M22" s="2">
        <v>0.5</v>
      </c>
      <c r="N22" s="2">
        <f t="shared" si="22"/>
        <v>0.66666666666666663</v>
      </c>
      <c r="O22" s="2">
        <f t="shared" si="23"/>
        <v>0.5</v>
      </c>
      <c r="P22" s="2">
        <f t="shared" si="24"/>
        <v>1</v>
      </c>
      <c r="Q22" s="2">
        <f t="shared" si="25"/>
        <v>0.75</v>
      </c>
      <c r="R22" s="2">
        <v>0.5</v>
      </c>
      <c r="S22" s="2">
        <v>1</v>
      </c>
      <c r="T22" s="2">
        <v>1</v>
      </c>
      <c r="U22" s="2">
        <f t="shared" si="26"/>
        <v>1.6666666666666667</v>
      </c>
      <c r="V22" s="2">
        <f t="shared" si="27"/>
        <v>0.5</v>
      </c>
      <c r="W22" s="2">
        <v>0.5</v>
      </c>
      <c r="X22" s="2">
        <f t="shared" si="28"/>
        <v>1</v>
      </c>
      <c r="Y22" s="2">
        <f t="shared" si="29"/>
        <v>1.3333333333333333</v>
      </c>
      <c r="Z22" s="2">
        <v>1</v>
      </c>
      <c r="AA22" s="2">
        <f t="shared" si="30"/>
        <v>1</v>
      </c>
      <c r="AB22" s="2">
        <v>1</v>
      </c>
      <c r="AC22" s="2">
        <v>1</v>
      </c>
      <c r="AD22" s="2">
        <v>1</v>
      </c>
      <c r="AE22" s="2">
        <f t="shared" si="31"/>
        <v>1</v>
      </c>
      <c r="AF22" s="2">
        <f t="shared" si="32"/>
        <v>2</v>
      </c>
      <c r="AG22" s="2">
        <f t="shared" si="33"/>
        <v>0.5</v>
      </c>
      <c r="AH22" s="2">
        <f t="shared" si="34"/>
        <v>1</v>
      </c>
      <c r="AI22" s="2">
        <f t="shared" si="35"/>
        <v>1</v>
      </c>
      <c r="AJ22" s="2">
        <f t="shared" si="36"/>
        <v>1.6666666666666667</v>
      </c>
      <c r="AK22" s="2">
        <v>1</v>
      </c>
      <c r="AL22" s="2">
        <v>2</v>
      </c>
      <c r="AM22" s="2">
        <v>2</v>
      </c>
      <c r="AN22" s="2">
        <f t="shared" si="0"/>
        <v>5</v>
      </c>
      <c r="AMJ22" s="8"/>
    </row>
    <row r="23" spans="1:1024" x14ac:dyDescent="0.25">
      <c r="A23" s="3" t="s">
        <v>38</v>
      </c>
      <c r="B23" s="3" t="s">
        <v>39</v>
      </c>
      <c r="C23" s="3">
        <v>1</v>
      </c>
      <c r="D23" s="3">
        <v>0.5</v>
      </c>
      <c r="E23" s="3">
        <v>0.75</v>
      </c>
      <c r="F23" s="3">
        <v>1.5</v>
      </c>
      <c r="G23" s="3">
        <v>1.5</v>
      </c>
      <c r="H23" s="3">
        <v>1</v>
      </c>
      <c r="I23" s="3">
        <f t="shared" si="19"/>
        <v>6.25</v>
      </c>
      <c r="J23" s="4">
        <f t="shared" si="20"/>
        <v>6</v>
      </c>
      <c r="K23" s="3">
        <v>1</v>
      </c>
      <c r="L23" s="3">
        <f t="shared" si="21"/>
        <v>1</v>
      </c>
      <c r="M23" s="3">
        <v>1</v>
      </c>
      <c r="N23" s="5">
        <f t="shared" si="22"/>
        <v>1</v>
      </c>
      <c r="O23" s="3">
        <f t="shared" si="23"/>
        <v>1</v>
      </c>
      <c r="P23" s="3">
        <f t="shared" si="24"/>
        <v>0</v>
      </c>
      <c r="Q23" s="5">
        <f t="shared" si="25"/>
        <v>0.5</v>
      </c>
      <c r="R23" s="3">
        <v>1</v>
      </c>
      <c r="S23" s="3">
        <v>0</v>
      </c>
      <c r="T23" s="3">
        <v>0</v>
      </c>
      <c r="U23" s="5">
        <f t="shared" si="26"/>
        <v>0.66666666666666663</v>
      </c>
      <c r="V23" s="3">
        <f t="shared" si="27"/>
        <v>1</v>
      </c>
      <c r="W23" s="3">
        <v>1</v>
      </c>
      <c r="X23" s="3">
        <f t="shared" si="28"/>
        <v>0</v>
      </c>
      <c r="Y23" s="5">
        <f t="shared" si="29"/>
        <v>1.3333333333333333</v>
      </c>
      <c r="Z23" s="3">
        <v>1</v>
      </c>
      <c r="AA23" s="3">
        <f t="shared" si="30"/>
        <v>0.5</v>
      </c>
      <c r="AB23" s="3">
        <v>1</v>
      </c>
      <c r="AC23" s="3">
        <v>1</v>
      </c>
      <c r="AD23" s="3">
        <v>1</v>
      </c>
      <c r="AE23" s="3">
        <f t="shared" si="31"/>
        <v>0</v>
      </c>
      <c r="AF23" s="5">
        <f t="shared" si="32"/>
        <v>1.5</v>
      </c>
      <c r="AG23" s="3">
        <f t="shared" si="33"/>
        <v>1</v>
      </c>
      <c r="AH23" s="3">
        <f t="shared" si="34"/>
        <v>0.5</v>
      </c>
      <c r="AI23" s="3">
        <f t="shared" si="35"/>
        <v>0</v>
      </c>
      <c r="AJ23" s="5">
        <f t="shared" si="36"/>
        <v>1</v>
      </c>
      <c r="AK23" s="10">
        <v>2</v>
      </c>
      <c r="AL23" s="10">
        <v>1</v>
      </c>
      <c r="AM23" s="10"/>
      <c r="AN23" s="9">
        <f t="shared" si="0"/>
        <v>3</v>
      </c>
    </row>
    <row r="24" spans="1:1024" s="2" customFormat="1" x14ac:dyDescent="0.25">
      <c r="A24" s="2" t="s">
        <v>40</v>
      </c>
      <c r="B24" s="2" t="s">
        <v>41</v>
      </c>
      <c r="C24" s="2">
        <v>0.75</v>
      </c>
      <c r="D24" s="2">
        <v>0.25</v>
      </c>
      <c r="E24" s="2">
        <v>1.5</v>
      </c>
      <c r="F24" s="2">
        <v>0.75</v>
      </c>
      <c r="G24" s="2">
        <v>1.5</v>
      </c>
      <c r="H24" s="2">
        <v>0.75</v>
      </c>
      <c r="I24" s="2">
        <f t="shared" si="19"/>
        <v>5.5</v>
      </c>
      <c r="J24" s="7">
        <f t="shared" si="20"/>
        <v>5.25</v>
      </c>
      <c r="K24" s="2">
        <v>1</v>
      </c>
      <c r="L24" s="2">
        <f t="shared" si="21"/>
        <v>0.5</v>
      </c>
      <c r="M24" s="2">
        <v>0.5</v>
      </c>
      <c r="N24" s="2">
        <f t="shared" si="22"/>
        <v>0.66666666666666663</v>
      </c>
      <c r="O24" s="2">
        <f t="shared" si="23"/>
        <v>0.5</v>
      </c>
      <c r="P24" s="2">
        <f t="shared" si="24"/>
        <v>0</v>
      </c>
      <c r="Q24" s="2">
        <f t="shared" si="25"/>
        <v>0.25</v>
      </c>
      <c r="R24" s="2">
        <v>0.5</v>
      </c>
      <c r="S24" s="2">
        <v>1</v>
      </c>
      <c r="U24" s="2">
        <f t="shared" si="26"/>
        <v>1.5</v>
      </c>
      <c r="V24" s="2">
        <f t="shared" si="27"/>
        <v>0.5</v>
      </c>
      <c r="W24" s="2">
        <v>0.5</v>
      </c>
      <c r="X24" s="2">
        <f t="shared" si="28"/>
        <v>0</v>
      </c>
      <c r="Y24" s="2">
        <f t="shared" si="29"/>
        <v>0.66666666666666663</v>
      </c>
      <c r="Z24" s="2">
        <v>1</v>
      </c>
      <c r="AA24" s="2">
        <f t="shared" si="30"/>
        <v>0.5</v>
      </c>
      <c r="AB24" s="2">
        <v>1</v>
      </c>
      <c r="AC24" s="2">
        <v>1</v>
      </c>
      <c r="AD24" s="2">
        <v>1</v>
      </c>
      <c r="AE24" s="2">
        <f t="shared" si="31"/>
        <v>0</v>
      </c>
      <c r="AF24" s="2">
        <f t="shared" si="32"/>
        <v>1.5</v>
      </c>
      <c r="AG24" s="2">
        <f t="shared" si="33"/>
        <v>0.5</v>
      </c>
      <c r="AH24" s="2">
        <f t="shared" si="34"/>
        <v>0.5</v>
      </c>
      <c r="AI24" s="2">
        <f t="shared" si="35"/>
        <v>0</v>
      </c>
      <c r="AJ24" s="2">
        <f t="shared" si="36"/>
        <v>0.66666666666666663</v>
      </c>
      <c r="AK24" s="2">
        <v>1</v>
      </c>
      <c r="AL24" s="2">
        <v>1</v>
      </c>
      <c r="AM24" s="2">
        <v>0</v>
      </c>
      <c r="AN24" s="2">
        <f t="shared" si="0"/>
        <v>2</v>
      </c>
      <c r="AMJ24" s="8"/>
    </row>
    <row r="25" spans="1:1024" x14ac:dyDescent="0.25">
      <c r="A25" s="3" t="s">
        <v>42</v>
      </c>
      <c r="B25" s="3" t="s">
        <v>43</v>
      </c>
      <c r="C25" s="3">
        <v>0.5</v>
      </c>
      <c r="D25" s="3">
        <v>0</v>
      </c>
      <c r="E25" s="3">
        <v>0.5</v>
      </c>
      <c r="F25" s="3">
        <v>0.5</v>
      </c>
      <c r="G25" s="3">
        <v>1.75</v>
      </c>
      <c r="H25" s="3">
        <v>0.75</v>
      </c>
      <c r="I25" s="3">
        <f t="shared" si="19"/>
        <v>4</v>
      </c>
      <c r="J25" s="4">
        <f t="shared" si="20"/>
        <v>3.4999999999999996</v>
      </c>
      <c r="K25" s="3">
        <v>1</v>
      </c>
      <c r="L25" s="3">
        <f t="shared" si="21"/>
        <v>0</v>
      </c>
      <c r="M25" s="3">
        <v>0.5</v>
      </c>
      <c r="N25" s="5">
        <f t="shared" si="22"/>
        <v>0.5</v>
      </c>
      <c r="O25" s="3">
        <f t="shared" si="23"/>
        <v>0</v>
      </c>
      <c r="P25" s="3">
        <f t="shared" si="24"/>
        <v>0</v>
      </c>
      <c r="Q25" s="5">
        <f t="shared" si="25"/>
        <v>0</v>
      </c>
      <c r="R25" s="3">
        <v>0.5</v>
      </c>
      <c r="S25" s="3">
        <v>0</v>
      </c>
      <c r="T25" s="3">
        <v>0</v>
      </c>
      <c r="U25" s="5">
        <f t="shared" si="26"/>
        <v>0.33333333333333331</v>
      </c>
      <c r="V25" s="3">
        <f t="shared" si="27"/>
        <v>0</v>
      </c>
      <c r="W25" s="3">
        <v>0.5</v>
      </c>
      <c r="X25" s="3">
        <f t="shared" si="28"/>
        <v>0</v>
      </c>
      <c r="Y25" s="5">
        <f t="shared" si="29"/>
        <v>0.33333333333333331</v>
      </c>
      <c r="Z25" s="3">
        <v>1</v>
      </c>
      <c r="AA25" s="3">
        <f t="shared" si="30"/>
        <v>1</v>
      </c>
      <c r="AB25" s="3">
        <v>1</v>
      </c>
      <c r="AC25" s="3">
        <v>1</v>
      </c>
      <c r="AD25" s="3">
        <v>1</v>
      </c>
      <c r="AE25" s="3">
        <f t="shared" si="31"/>
        <v>0</v>
      </c>
      <c r="AF25" s="5">
        <f t="shared" si="32"/>
        <v>1.6666666666666667</v>
      </c>
      <c r="AG25" s="3">
        <f t="shared" si="33"/>
        <v>0</v>
      </c>
      <c r="AH25" s="3">
        <f t="shared" si="34"/>
        <v>1</v>
      </c>
      <c r="AI25" s="3">
        <f t="shared" si="35"/>
        <v>0</v>
      </c>
      <c r="AJ25" s="5">
        <f t="shared" si="36"/>
        <v>0.66666666666666663</v>
      </c>
      <c r="AK25" s="10">
        <v>0</v>
      </c>
      <c r="AL25" s="10">
        <v>2</v>
      </c>
      <c r="AM25" s="10"/>
      <c r="AN25" s="9">
        <f t="shared" si="0"/>
        <v>2</v>
      </c>
    </row>
    <row r="26" spans="1:1024" s="2" customFormat="1" x14ac:dyDescent="0.25">
      <c r="A26" s="2" t="s">
        <v>44</v>
      </c>
      <c r="B26" s="2" t="s">
        <v>45</v>
      </c>
      <c r="C26" s="2">
        <v>0.5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f t="shared" si="19"/>
        <v>1.5</v>
      </c>
      <c r="J26" s="7">
        <f t="shared" si="20"/>
        <v>1.1666666666666667</v>
      </c>
      <c r="K26" s="2">
        <v>1</v>
      </c>
      <c r="L26" s="2">
        <f t="shared" si="21"/>
        <v>0</v>
      </c>
      <c r="M26" s="2">
        <v>0</v>
      </c>
      <c r="N26" s="2">
        <f t="shared" si="22"/>
        <v>0.33333333333333331</v>
      </c>
      <c r="O26" s="2">
        <f t="shared" si="23"/>
        <v>0</v>
      </c>
      <c r="P26" s="2">
        <f t="shared" si="24"/>
        <v>0</v>
      </c>
      <c r="Q26" s="2">
        <f t="shared" si="25"/>
        <v>0</v>
      </c>
      <c r="R26" s="2">
        <v>0</v>
      </c>
      <c r="S26" s="2">
        <v>0</v>
      </c>
      <c r="T26" s="2">
        <v>0</v>
      </c>
      <c r="U26" s="2">
        <f t="shared" si="26"/>
        <v>0</v>
      </c>
      <c r="V26" s="2">
        <f t="shared" si="27"/>
        <v>0</v>
      </c>
      <c r="W26" s="2">
        <v>0</v>
      </c>
      <c r="X26" s="2">
        <f t="shared" si="28"/>
        <v>0</v>
      </c>
      <c r="Y26" s="2">
        <f t="shared" si="29"/>
        <v>0</v>
      </c>
      <c r="Z26" s="2">
        <v>1</v>
      </c>
      <c r="AA26" s="2">
        <f t="shared" si="30"/>
        <v>0</v>
      </c>
      <c r="AB26" s="2">
        <v>0.5</v>
      </c>
      <c r="AC26" s="2">
        <v>1</v>
      </c>
      <c r="AD26" s="2">
        <v>0</v>
      </c>
      <c r="AE26" s="2">
        <f t="shared" si="31"/>
        <v>0</v>
      </c>
      <c r="AF26" s="2">
        <f t="shared" si="32"/>
        <v>0.83333333333333337</v>
      </c>
      <c r="AG26" s="2">
        <f t="shared" si="33"/>
        <v>0</v>
      </c>
      <c r="AH26" s="2">
        <f t="shared" si="34"/>
        <v>0</v>
      </c>
      <c r="AI26" s="2">
        <f t="shared" si="35"/>
        <v>0</v>
      </c>
      <c r="AJ26" s="2">
        <f t="shared" si="36"/>
        <v>0</v>
      </c>
      <c r="AK26" s="2">
        <v>0</v>
      </c>
      <c r="AL26" s="2">
        <v>0</v>
      </c>
      <c r="AN26" s="2">
        <f t="shared" si="0"/>
        <v>0</v>
      </c>
      <c r="AMJ26" s="8"/>
    </row>
    <row r="27" spans="1:1024" x14ac:dyDescent="0.25">
      <c r="A27" s="3" t="s">
        <v>46</v>
      </c>
      <c r="B27" s="3" t="s">
        <v>47</v>
      </c>
      <c r="C27" s="3">
        <v>0.5</v>
      </c>
      <c r="D27" s="3">
        <v>0.25</v>
      </c>
      <c r="E27" s="3">
        <v>0</v>
      </c>
      <c r="F27" s="3">
        <v>0.5</v>
      </c>
      <c r="G27" s="3">
        <v>1</v>
      </c>
      <c r="H27" s="3">
        <v>0.5</v>
      </c>
      <c r="I27" s="3">
        <f t="shared" si="19"/>
        <v>2.75</v>
      </c>
      <c r="J27" s="4">
        <f t="shared" si="20"/>
        <v>2.4166666666666665</v>
      </c>
      <c r="K27" s="3">
        <v>1</v>
      </c>
      <c r="L27" s="3">
        <f t="shared" si="21"/>
        <v>0.5</v>
      </c>
      <c r="M27" s="3">
        <v>0</v>
      </c>
      <c r="N27" s="5">
        <f t="shared" si="22"/>
        <v>0.5</v>
      </c>
      <c r="O27" s="3">
        <f t="shared" si="23"/>
        <v>0.5</v>
      </c>
      <c r="P27" s="3">
        <f t="shared" si="24"/>
        <v>0</v>
      </c>
      <c r="Q27" s="5">
        <f t="shared" si="25"/>
        <v>0.25</v>
      </c>
      <c r="R27" s="3">
        <v>0</v>
      </c>
      <c r="S27" s="3">
        <v>0</v>
      </c>
      <c r="T27" s="3">
        <v>0</v>
      </c>
      <c r="U27" s="5">
        <f t="shared" si="26"/>
        <v>0</v>
      </c>
      <c r="V27" s="3">
        <f t="shared" si="27"/>
        <v>0.5</v>
      </c>
      <c r="W27" s="3">
        <v>0</v>
      </c>
      <c r="X27" s="3">
        <f t="shared" si="28"/>
        <v>0</v>
      </c>
      <c r="Y27" s="5">
        <f t="shared" si="29"/>
        <v>0.33333333333333331</v>
      </c>
      <c r="Z27" s="3">
        <v>1</v>
      </c>
      <c r="AA27" s="3">
        <f t="shared" si="30"/>
        <v>0</v>
      </c>
      <c r="AB27" s="3">
        <v>1</v>
      </c>
      <c r="AC27" s="3">
        <v>1</v>
      </c>
      <c r="AD27" s="3">
        <v>0</v>
      </c>
      <c r="AE27" s="3">
        <f t="shared" si="31"/>
        <v>0</v>
      </c>
      <c r="AF27" s="5">
        <f t="shared" si="32"/>
        <v>1</v>
      </c>
      <c r="AG27" s="3">
        <f t="shared" si="33"/>
        <v>0.5</v>
      </c>
      <c r="AH27" s="3">
        <f t="shared" si="34"/>
        <v>0</v>
      </c>
      <c r="AI27" s="3">
        <f t="shared" si="35"/>
        <v>0</v>
      </c>
      <c r="AJ27" s="5">
        <f t="shared" si="36"/>
        <v>0.33333333333333331</v>
      </c>
      <c r="AK27" s="10">
        <v>1</v>
      </c>
      <c r="AL27" s="10">
        <v>0</v>
      </c>
      <c r="AM27" s="10">
        <v>0</v>
      </c>
      <c r="AN27" s="9">
        <f t="shared" si="0"/>
        <v>1</v>
      </c>
    </row>
    <row r="28" spans="1:1024" s="2" customFormat="1" x14ac:dyDescent="0.25">
      <c r="A28" s="2" t="s">
        <v>48</v>
      </c>
      <c r="B28" s="2" t="s">
        <v>49</v>
      </c>
      <c r="C28" s="2">
        <v>1</v>
      </c>
      <c r="D28" s="2">
        <v>1</v>
      </c>
      <c r="E28" s="2">
        <v>2</v>
      </c>
      <c r="F28" s="2">
        <v>2</v>
      </c>
      <c r="G28" s="2">
        <v>2</v>
      </c>
      <c r="H28" s="2">
        <v>2</v>
      </c>
      <c r="I28" s="2">
        <f t="shared" si="19"/>
        <v>10</v>
      </c>
      <c r="J28" s="7">
        <f t="shared" si="20"/>
        <v>9.8333333333333321</v>
      </c>
      <c r="K28" s="2">
        <v>1</v>
      </c>
      <c r="L28" s="2">
        <f t="shared" si="21"/>
        <v>1</v>
      </c>
      <c r="M28" s="2">
        <v>1</v>
      </c>
      <c r="N28" s="2">
        <f t="shared" si="22"/>
        <v>1</v>
      </c>
      <c r="O28" s="2">
        <f t="shared" si="23"/>
        <v>1</v>
      </c>
      <c r="P28" s="2">
        <f t="shared" si="24"/>
        <v>1</v>
      </c>
      <c r="Q28" s="2">
        <f t="shared" si="25"/>
        <v>1</v>
      </c>
      <c r="R28" s="2">
        <v>1</v>
      </c>
      <c r="S28" s="2">
        <v>1</v>
      </c>
      <c r="T28" s="2">
        <v>1</v>
      </c>
      <c r="U28" s="2">
        <f t="shared" si="26"/>
        <v>2</v>
      </c>
      <c r="V28" s="2">
        <f t="shared" si="27"/>
        <v>1</v>
      </c>
      <c r="W28" s="2">
        <v>1</v>
      </c>
      <c r="X28" s="2">
        <f t="shared" si="28"/>
        <v>1</v>
      </c>
      <c r="Y28" s="2">
        <f t="shared" si="29"/>
        <v>2</v>
      </c>
      <c r="Z28" s="2">
        <v>1</v>
      </c>
      <c r="AA28" s="2">
        <f t="shared" si="30"/>
        <v>1</v>
      </c>
      <c r="AB28" s="2">
        <v>0.5</v>
      </c>
      <c r="AC28" s="2">
        <v>1</v>
      </c>
      <c r="AD28" s="2">
        <v>1</v>
      </c>
      <c r="AE28" s="2">
        <f t="shared" si="31"/>
        <v>1</v>
      </c>
      <c r="AF28" s="2">
        <f t="shared" si="32"/>
        <v>1.8333333333333333</v>
      </c>
      <c r="AG28" s="2">
        <f t="shared" si="33"/>
        <v>1</v>
      </c>
      <c r="AH28" s="2">
        <f t="shared" si="34"/>
        <v>1</v>
      </c>
      <c r="AI28" s="2">
        <f t="shared" si="35"/>
        <v>1</v>
      </c>
      <c r="AJ28" s="2">
        <f t="shared" si="36"/>
        <v>2</v>
      </c>
      <c r="AK28" s="2">
        <v>2</v>
      </c>
      <c r="AL28" s="2">
        <v>2</v>
      </c>
      <c r="AM28" s="2">
        <v>2</v>
      </c>
      <c r="AN28" s="2">
        <f t="shared" si="0"/>
        <v>6</v>
      </c>
      <c r="AMJ28" s="8"/>
    </row>
    <row r="29" spans="1:1024" x14ac:dyDescent="0.25">
      <c r="A29" s="3" t="s">
        <v>50</v>
      </c>
      <c r="B29" s="3" t="s">
        <v>51</v>
      </c>
      <c r="C29" s="3">
        <v>0.75</v>
      </c>
      <c r="D29" s="3">
        <v>0.5</v>
      </c>
      <c r="E29" s="3">
        <v>0.75</v>
      </c>
      <c r="F29" s="3">
        <v>1.5</v>
      </c>
      <c r="G29" s="3">
        <v>1.75</v>
      </c>
      <c r="H29" s="3">
        <v>1.5</v>
      </c>
      <c r="I29" s="3">
        <f t="shared" si="19"/>
        <v>6.75</v>
      </c>
      <c r="J29" s="4">
        <f t="shared" si="20"/>
        <v>6.1666666666666661</v>
      </c>
      <c r="K29" s="3">
        <v>1</v>
      </c>
      <c r="L29" s="3">
        <f t="shared" si="21"/>
        <v>1</v>
      </c>
      <c r="M29" s="3">
        <v>0</v>
      </c>
      <c r="N29" s="5">
        <f t="shared" si="22"/>
        <v>0.66666666666666663</v>
      </c>
      <c r="O29" s="3">
        <f t="shared" si="23"/>
        <v>1</v>
      </c>
      <c r="P29" s="3">
        <f t="shared" si="24"/>
        <v>0</v>
      </c>
      <c r="Q29" s="5">
        <f t="shared" si="25"/>
        <v>0.5</v>
      </c>
      <c r="R29" s="3">
        <v>0</v>
      </c>
      <c r="S29" s="3">
        <v>1</v>
      </c>
      <c r="T29" s="3">
        <v>0</v>
      </c>
      <c r="U29" s="5">
        <f t="shared" si="26"/>
        <v>0.66666666666666663</v>
      </c>
      <c r="V29" s="3">
        <f t="shared" si="27"/>
        <v>1</v>
      </c>
      <c r="W29" s="3">
        <v>0</v>
      </c>
      <c r="X29" s="3">
        <f t="shared" si="28"/>
        <v>1</v>
      </c>
      <c r="Y29" s="5">
        <f t="shared" si="29"/>
        <v>1.3333333333333333</v>
      </c>
      <c r="Z29" s="3">
        <v>1</v>
      </c>
      <c r="AA29" s="3">
        <f t="shared" si="30"/>
        <v>0</v>
      </c>
      <c r="AB29" s="3">
        <v>1</v>
      </c>
      <c r="AC29" s="3">
        <v>1</v>
      </c>
      <c r="AD29" s="3">
        <v>1</v>
      </c>
      <c r="AE29" s="3">
        <f t="shared" si="31"/>
        <v>1</v>
      </c>
      <c r="AF29" s="5">
        <f t="shared" si="32"/>
        <v>1.6666666666666667</v>
      </c>
      <c r="AG29" s="3">
        <f t="shared" si="33"/>
        <v>1</v>
      </c>
      <c r="AH29" s="3">
        <f t="shared" si="34"/>
        <v>0</v>
      </c>
      <c r="AI29" s="3">
        <f t="shared" si="35"/>
        <v>1</v>
      </c>
      <c r="AJ29" s="5">
        <f t="shared" si="36"/>
        <v>1.3333333333333333</v>
      </c>
      <c r="AK29" s="10">
        <v>2</v>
      </c>
      <c r="AL29" s="10"/>
      <c r="AM29" s="10">
        <v>2</v>
      </c>
      <c r="AN29" s="9">
        <f t="shared" si="0"/>
        <v>4</v>
      </c>
    </row>
    <row r="31" spans="1:1024" x14ac:dyDescent="0.25">
      <c r="I31" s="4">
        <f>AVERAGE(I4:I29)</f>
        <v>5.8260869565217392</v>
      </c>
      <c r="J31" s="4">
        <f>AVERAGE(J4:J29)</f>
        <v>5.52536231884058</v>
      </c>
    </row>
  </sheetData>
  <mergeCells count="6">
    <mergeCell ref="AG3:AJ3"/>
    <mergeCell ref="K3:N3"/>
    <mergeCell ref="O3:Q3"/>
    <mergeCell ref="R3:U3"/>
    <mergeCell ref="V3:Y3"/>
    <mergeCell ref="Z3:AF3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dc:description/>
  <cp:lastModifiedBy>thomas</cp:lastModifiedBy>
  <cp:revision>9</cp:revision>
  <dcterms:created xsi:type="dcterms:W3CDTF">2021-03-12T11:41:31Z</dcterms:created>
  <dcterms:modified xsi:type="dcterms:W3CDTF">2021-03-16T16:49:26Z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