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A Hachette et lycée\2015 BTS\BTS CCF 2e année\Hachette 2A CCF5\"/>
    </mc:Choice>
  </mc:AlternateContent>
  <bookViews>
    <workbookView xWindow="0" yWindow="0" windowWidth="21516" windowHeight="9036"/>
  </bookViews>
  <sheets>
    <sheet name="CCF5 2A " sheetId="1" r:id="rId1"/>
  </sheets>
  <externalReferences>
    <externalReference r:id="rId2"/>
    <externalReference r:id="rId3"/>
  </externalReferences>
  <definedNames>
    <definedName name="acc">OFFSET('[1]CCF10 données'!$J$9,0,0,COUNTA('[1]CCF10 données'!$J:$J)-1)</definedName>
    <definedName name="annee">OFFSET('[1]CCF10 données'!$A$9,0,0,COUNTA('[1]CCF10 données'!$A:$A)-4)</definedName>
    <definedName name="chiffre">#REF!</definedName>
    <definedName name="entete">#REF!</definedName>
    <definedName name="entete_ligne">#REF!</definedName>
    <definedName name="loc">OFFSET('[1]CCF10 données'!$K$9,0,0,COUNTA('[1]CCF10 données'!$K:$K)-1)</definedName>
    <definedName name="pro">OFFSET('[1]CCF10 données'!$I$9,0,0,COUNTA('[1]CCF10 données'!$I:$I)-2)</definedName>
    <definedName name="tab_conso">#REF!</definedName>
    <definedName name="testg">[2]Tableau2!$C$4,[2]Tableau2!$E$5,[2]Tableau2!$D$6,[2]Tableau2!$E$7,[2]Tableau2!$C$8:$D$8,[2]Tableau2!$C$9:$C$10,[2]Tableau2!$D$10,[2]Tableau2!$E$11,[2]Tableau2!$C$12:$D$12,[2]Tableau2!$D$13:$D$15</definedName>
    <definedName name="testi">[2]Tableau2!$D$4:$E$4,[2]Tableau2!$C$5:$D$5,[2]Tableau2!$E$6,[2]Tableau2!$C$6:$C$7,[2]Tableau2!$D$7,[2]Tableau2!$E$8,[2]Tableau2!$D$9:$E$9,[2]Tableau2!$E$10,[2]Tableau2!$C$11:$D$11,[2]Tableau2!$C$13:$C$15,[2]Tableau2!$E$12:$E$15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7" i="1" l="1"/>
  <c r="A7" i="1"/>
  <c r="A8" i="1" s="1"/>
  <c r="A6" i="1"/>
  <c r="B6" i="1" s="1"/>
  <c r="B5" i="1"/>
  <c r="B4" i="1"/>
  <c r="H3" i="1"/>
  <c r="E3" i="1"/>
  <c r="F3" i="1" s="1"/>
  <c r="B3" i="1"/>
  <c r="A9" i="1" l="1"/>
  <c r="B8" i="1"/>
  <c r="D4" i="1"/>
  <c r="H4" i="1" s="1"/>
  <c r="C4" i="1"/>
  <c r="G3" i="1"/>
  <c r="B7" i="1"/>
  <c r="E4" i="1" l="1"/>
  <c r="F4" i="1"/>
  <c r="A10" i="1"/>
  <c r="B9" i="1"/>
  <c r="B10" i="1" l="1"/>
  <c r="A11" i="1"/>
  <c r="D5" i="1"/>
  <c r="C5" i="1"/>
  <c r="G4" i="1"/>
  <c r="E5" i="1" l="1"/>
  <c r="F5" i="1" s="1"/>
  <c r="H5" i="1"/>
  <c r="A12" i="1"/>
  <c r="B11" i="1"/>
  <c r="G5" i="1" l="1"/>
  <c r="C6" i="1"/>
  <c r="D6" i="1"/>
  <c r="H6" i="1" s="1"/>
  <c r="A13" i="1"/>
  <c r="B12" i="1"/>
  <c r="A14" i="1" l="1"/>
  <c r="B13" i="1"/>
  <c r="E6" i="1"/>
  <c r="F6" i="1" s="1"/>
  <c r="G6" i="1" l="1"/>
  <c r="B14" i="1"/>
  <c r="A15" i="1"/>
  <c r="B15" i="1" l="1"/>
  <c r="A16" i="1"/>
  <c r="B16" i="1" l="1"/>
  <c r="A17" i="1"/>
  <c r="A18" i="1" l="1"/>
  <c r="B17" i="1"/>
  <c r="A19" i="1" l="1"/>
  <c r="B18" i="1"/>
  <c r="A20" i="1" l="1"/>
  <c r="B19" i="1"/>
  <c r="B20" i="1" l="1"/>
  <c r="A21" i="1"/>
  <c r="A22" i="1" l="1"/>
  <c r="B21" i="1"/>
  <c r="A23" i="1" l="1"/>
  <c r="B22" i="1"/>
  <c r="A24" i="1" l="1"/>
  <c r="B23" i="1"/>
  <c r="B24" i="1" l="1"/>
  <c r="A25" i="1"/>
  <c r="A26" i="1" l="1"/>
  <c r="B26" i="1" s="1"/>
  <c r="B25" i="1"/>
</calcChain>
</file>

<file path=xl/sharedStrings.xml><?xml version="1.0" encoding="utf-8"?>
<sst xmlns="http://schemas.openxmlformats.org/spreadsheetml/2006/main" count="16" uniqueCount="15">
  <si>
    <t>Vente</t>
  </si>
  <si>
    <t>Bornes</t>
  </si>
  <si>
    <t>milieu</t>
  </si>
  <si>
    <t>produit</t>
  </si>
  <si>
    <t>signe</t>
  </si>
  <si>
    <t>différence</t>
  </si>
  <si>
    <t>Verification</t>
  </si>
  <si>
    <t>x</t>
  </si>
  <si>
    <r>
      <rPr>
        <b/>
        <i/>
        <sz val="11"/>
        <color theme="1"/>
        <rFont val="Calibri"/>
        <family val="2"/>
        <scheme val="minor"/>
      </rPr>
      <t>f</t>
    </r>
    <r>
      <rPr>
        <b/>
        <sz val="11"/>
        <color theme="1"/>
        <rFont val="Calibri"/>
        <family val="2"/>
        <scheme val="minor"/>
      </rPr>
      <t>(</t>
    </r>
    <r>
      <rPr>
        <b/>
        <i/>
        <sz val="11"/>
        <color theme="1"/>
        <rFont val="Calibri"/>
        <family val="2"/>
        <scheme val="minor"/>
      </rPr>
      <t>x</t>
    </r>
    <r>
      <rPr>
        <b/>
        <sz val="11"/>
        <color theme="1"/>
        <rFont val="Calibri"/>
        <family val="2"/>
        <scheme val="minor"/>
      </rPr>
      <t>)</t>
    </r>
  </si>
  <si>
    <t>a</t>
  </si>
  <si>
    <t>b</t>
  </si>
  <si>
    <r>
      <rPr>
        <b/>
        <i/>
        <sz val="11"/>
        <color theme="1"/>
        <rFont val="Calibri"/>
        <family val="2"/>
        <scheme val="minor"/>
      </rPr>
      <t>m</t>
    </r>
    <r>
      <rPr>
        <b/>
        <sz val="11"/>
        <color theme="1"/>
        <rFont val="Calibri"/>
        <family val="2"/>
        <scheme val="minor"/>
      </rPr>
      <t xml:space="preserve"> = (</t>
    </r>
    <r>
      <rPr>
        <b/>
        <i/>
        <sz val="11"/>
        <color theme="1"/>
        <rFont val="Calibri"/>
        <family val="2"/>
        <scheme val="minor"/>
      </rPr>
      <t>a</t>
    </r>
    <r>
      <rPr>
        <b/>
        <sz val="11"/>
        <color theme="1"/>
        <rFont val="Calibri"/>
        <family val="2"/>
        <scheme val="minor"/>
      </rPr>
      <t xml:space="preserve"> + </t>
    </r>
    <r>
      <rPr>
        <b/>
        <i/>
        <sz val="11"/>
        <color theme="1"/>
        <rFont val="Calibri"/>
        <family val="2"/>
        <scheme val="minor"/>
      </rPr>
      <t>b</t>
    </r>
    <r>
      <rPr>
        <b/>
        <sz val="11"/>
        <color theme="1"/>
        <rFont val="Calibri"/>
        <family val="2"/>
        <scheme val="minor"/>
      </rPr>
      <t>)/2</t>
    </r>
  </si>
  <si>
    <r>
      <rPr>
        <b/>
        <i/>
        <sz val="11"/>
        <color theme="1"/>
        <rFont val="Calibri"/>
        <family val="2"/>
        <scheme val="minor"/>
      </rPr>
      <t>f</t>
    </r>
    <r>
      <rPr>
        <b/>
        <sz val="11"/>
        <color theme="1"/>
        <rFont val="Calibri"/>
        <family val="2"/>
        <scheme val="minor"/>
      </rPr>
      <t>(</t>
    </r>
    <r>
      <rPr>
        <b/>
        <i/>
        <sz val="11"/>
        <color theme="1"/>
        <rFont val="Calibri"/>
        <family val="2"/>
        <scheme val="minor"/>
      </rPr>
      <t>a</t>
    </r>
    <r>
      <rPr>
        <b/>
        <sz val="11"/>
        <color theme="1"/>
        <rFont val="Calibri"/>
        <family val="2"/>
        <scheme val="minor"/>
      </rPr>
      <t xml:space="preserve">) </t>
    </r>
    <r>
      <rPr>
        <b/>
        <sz val="11"/>
        <color theme="1"/>
        <rFont val="Calibri"/>
        <family val="2"/>
      </rPr>
      <t xml:space="preserve">× </t>
    </r>
    <r>
      <rPr>
        <b/>
        <i/>
        <sz val="11"/>
        <color theme="1"/>
        <rFont val="Calibri"/>
        <family val="2"/>
        <scheme val="minor"/>
      </rPr>
      <t>f</t>
    </r>
    <r>
      <rPr>
        <b/>
        <sz val="11"/>
        <color theme="1"/>
        <rFont val="Calibri"/>
        <family val="2"/>
        <scheme val="minor"/>
      </rPr>
      <t>(</t>
    </r>
    <r>
      <rPr>
        <b/>
        <i/>
        <sz val="11"/>
        <color theme="1"/>
        <rFont val="Calibri"/>
        <family val="2"/>
        <scheme val="minor"/>
      </rPr>
      <t>m</t>
    </r>
    <r>
      <rPr>
        <b/>
        <sz val="11"/>
        <color theme="1"/>
        <rFont val="Calibri"/>
        <family val="2"/>
        <scheme val="minor"/>
      </rPr>
      <t>)</t>
    </r>
  </si>
  <si>
    <t xml:space="preserve">b - a </t>
  </si>
  <si>
    <r>
      <t xml:space="preserve">sur </t>
    </r>
    <r>
      <rPr>
        <b/>
        <i/>
        <sz val="11"/>
        <color theme="1"/>
        <rFont val="Calibri"/>
        <family val="2"/>
        <scheme val="minor"/>
      </rPr>
      <t>b - 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</si>
</sst>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2" fillId="0" borderId="0" xfId="0" applyFont="1" applyBorder="1"/>
    <xf numFmtId="0" fontId="3" fillId="0" borderId="5" xfId="0" applyFont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'CCF5 2A '!$B$2</c:f>
              <c:strCache>
                <c:ptCount val="1"/>
                <c:pt idx="0">
                  <c:v>f(x)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'CCF5 2A '!$A$3:$A$27</c:f>
              <c:numCache>
                <c:formatCode>General</c:formatCode>
                <c:ptCount val="25"/>
                <c:pt idx="0">
                  <c:v>0.1</c:v>
                </c:pt>
                <c:pt idx="1">
                  <c:v>0.3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5.0999999999999996</c:v>
                </c:pt>
                <c:pt idx="12">
                  <c:v>5.1999999999999993</c:v>
                </c:pt>
                <c:pt idx="13">
                  <c:v>5.2999999999999989</c:v>
                </c:pt>
                <c:pt idx="14">
                  <c:v>5.3099999999999987</c:v>
                </c:pt>
                <c:pt idx="15">
                  <c:v>5.3199999999999985</c:v>
                </c:pt>
                <c:pt idx="16">
                  <c:v>5.3299999999999983</c:v>
                </c:pt>
                <c:pt idx="17">
                  <c:v>5.3309999999999986</c:v>
                </c:pt>
                <c:pt idx="18">
                  <c:v>5.331999999999999</c:v>
                </c:pt>
                <c:pt idx="19">
                  <c:v>5.3329999999999993</c:v>
                </c:pt>
                <c:pt idx="20">
                  <c:v>5.3339999999999996</c:v>
                </c:pt>
                <c:pt idx="21">
                  <c:v>5.335</c:v>
                </c:pt>
                <c:pt idx="22">
                  <c:v>5.3360000000000003</c:v>
                </c:pt>
                <c:pt idx="23">
                  <c:v>5.3370000000000006</c:v>
                </c:pt>
                <c:pt idx="24">
                  <c:v>5.5</c:v>
                </c:pt>
              </c:numCache>
            </c:numRef>
          </c:xVal>
          <c:yVal>
            <c:numRef>
              <c:f>'CCF5 2A '!$B$3:$B$27</c:f>
              <c:numCache>
                <c:formatCode>General</c:formatCode>
                <c:ptCount val="25"/>
                <c:pt idx="0">
                  <c:v>5.0449767799435925</c:v>
                </c:pt>
                <c:pt idx="1">
                  <c:v>5.2327944872602501</c:v>
                </c:pt>
                <c:pt idx="2">
                  <c:v>5.8646647167633876</c:v>
                </c:pt>
                <c:pt idx="3">
                  <c:v>6.2768698398515701</c:v>
                </c:pt>
                <c:pt idx="4">
                  <c:v>6.6321205588285572</c:v>
                </c:pt>
                <c:pt idx="5">
                  <c:v>6.8934693402873668</c:v>
                </c:pt>
                <c:pt idx="6">
                  <c:v>7</c:v>
                </c:pt>
                <c:pt idx="7">
                  <c:v>6.8512787292998718</c:v>
                </c:pt>
                <c:pt idx="8">
                  <c:v>6.2817181715409554</c:v>
                </c:pt>
                <c:pt idx="9">
                  <c:v>5.0183109296619355</c:v>
                </c:pt>
                <c:pt idx="10">
                  <c:v>2.6109439010693496</c:v>
                </c:pt>
                <c:pt idx="11">
                  <c:v>1.9338300874323533</c:v>
                </c:pt>
                <c:pt idx="12">
                  <c:v>1.1749865005658844</c:v>
                </c:pt>
                <c:pt idx="13">
                  <c:v>0.3258175451852896</c:v>
                </c:pt>
                <c:pt idx="14">
                  <c:v>0.23557534498642596</c:v>
                </c:pt>
                <c:pt idx="15">
                  <c:v>0.14432569392667816</c:v>
                </c:pt>
                <c:pt idx="16">
                  <c:v>5.2058466956568239E-2</c:v>
                </c:pt>
                <c:pt idx="17">
                  <c:v>4.2775384739337952E-2</c:v>
                </c:pt>
                <c:pt idx="18">
                  <c:v>3.3482014296632556E-2</c:v>
                </c:pt>
                <c:pt idx="19">
                  <c:v>2.4178345335082341E-2</c:v>
                </c:pt>
                <c:pt idx="20">
                  <c:v>1.4864367551021829E-2</c:v>
                </c:pt>
                <c:pt idx="21">
                  <c:v>5.5400706304684633E-3</c:v>
                </c:pt>
                <c:pt idx="22">
                  <c:v>-3.7945557508773931E-3</c:v>
                </c:pt>
                <c:pt idx="23">
                  <c:v>-1.3139521927639564E-2</c:v>
                </c:pt>
                <c:pt idx="24">
                  <c:v>-1.6824939607034732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2997992"/>
        <c:axId val="373004656"/>
      </c:scatterChart>
      <c:valAx>
        <c:axId val="372997992"/>
        <c:scaling>
          <c:orientation val="minMax"/>
        </c:scaling>
        <c:delete val="0"/>
        <c:axPos val="b"/>
        <c:majorGridlines>
          <c:spPr>
            <a:ln>
              <a:solidFill>
                <a:schemeClr val="accent1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>
            <a:solidFill>
              <a:sysClr val="windowText" lastClr="000000"/>
            </a:solidFill>
          </a:ln>
        </c:spPr>
        <c:txPr>
          <a:bodyPr/>
          <a:lstStyle/>
          <a:p>
            <a:pPr>
              <a:defRPr sz="1100" b="1"/>
            </a:pPr>
            <a:endParaRPr lang="fr-FR"/>
          </a:p>
        </c:txPr>
        <c:crossAx val="373004656"/>
        <c:crosses val="autoZero"/>
        <c:crossBetween val="midCat"/>
        <c:majorUnit val="0.5"/>
      </c:valAx>
      <c:valAx>
        <c:axId val="373004656"/>
        <c:scaling>
          <c:orientation val="minMax"/>
        </c:scaling>
        <c:delete val="0"/>
        <c:axPos val="l"/>
        <c:majorGridlines>
          <c:spPr>
            <a:ln>
              <a:solidFill>
                <a:schemeClr val="accent1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>
            <a:solidFill>
              <a:sysClr val="windowText" lastClr="000000"/>
            </a:solidFill>
          </a:ln>
        </c:spPr>
        <c:txPr>
          <a:bodyPr/>
          <a:lstStyle/>
          <a:p>
            <a:pPr>
              <a:defRPr sz="1100" b="1"/>
            </a:pPr>
            <a:endParaRPr lang="fr-FR"/>
          </a:p>
        </c:txPr>
        <c:crossAx val="37299799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495300</xdr:colOff>
      <xdr:row>0</xdr:row>
      <xdr:rowOff>114300</xdr:rowOff>
    </xdr:from>
    <xdr:to>
      <xdr:col>17</xdr:col>
      <xdr:colOff>476250</xdr:colOff>
      <xdr:row>23</xdr:row>
      <xdr:rowOff>104775</xdr:rowOff>
    </xdr:to>
    <xdr:graphicFrame macro="">
      <xdr:nvGraphicFramePr>
        <xdr:cNvPr id="2" name="Graphique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%20Hachette%20et%20lyc&#233;e/2015%20BTS/BTS%20CCF%20finaux/CCF%20fin%202e%20Ann&#233;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Lydia%20RM\Downloads\fmen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CF1"/>
      <sheetName val="CCF1cor"/>
      <sheetName val="CCF2"/>
      <sheetName val="CCF3"/>
      <sheetName val="CCF4 1"/>
      <sheetName val="CCF4"/>
      <sheetName val="CCF4b"/>
      <sheetName val="CCF5"/>
      <sheetName val="CCF5 2A "/>
      <sheetName val="CCF7"/>
      <sheetName val="CCF7 ex2"/>
      <sheetName val="CCF8 ex1"/>
      <sheetName val="CCF8 ex2"/>
      <sheetName val="CCF9"/>
      <sheetName val="CCF 10 ex2"/>
      <sheetName val="CCF10 données"/>
      <sheetName val="CCF11 ex1"/>
      <sheetName val="CCF12"/>
      <sheetName val="CCF13"/>
      <sheetName val="CCF1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B2" t="str">
            <v>f(x)</v>
          </cell>
        </row>
        <row r="3">
          <cell r="A3">
            <v>0.1</v>
          </cell>
          <cell r="B3">
            <v>5.0449767799435925</v>
          </cell>
        </row>
        <row r="4">
          <cell r="A4">
            <v>0.3</v>
          </cell>
          <cell r="B4">
            <v>5.2327944872602501</v>
          </cell>
        </row>
        <row r="5">
          <cell r="A5">
            <v>1</v>
          </cell>
          <cell r="B5">
            <v>5.8646647167633876</v>
          </cell>
        </row>
        <row r="6">
          <cell r="A6">
            <v>1.5</v>
          </cell>
          <cell r="B6">
            <v>6.2768698398515701</v>
          </cell>
        </row>
        <row r="7">
          <cell r="A7">
            <v>2</v>
          </cell>
          <cell r="B7">
            <v>6.6321205588285572</v>
          </cell>
        </row>
        <row r="8">
          <cell r="A8">
            <v>2.5</v>
          </cell>
          <cell r="B8">
            <v>6.8934693402873668</v>
          </cell>
        </row>
        <row r="9">
          <cell r="A9">
            <v>3</v>
          </cell>
          <cell r="B9">
            <v>7</v>
          </cell>
        </row>
        <row r="10">
          <cell r="A10">
            <v>3.5</v>
          </cell>
          <cell r="B10">
            <v>6.8512787292998718</v>
          </cell>
        </row>
        <row r="11">
          <cell r="A11">
            <v>4</v>
          </cell>
          <cell r="B11">
            <v>6.2817181715409554</v>
          </cell>
        </row>
        <row r="12">
          <cell r="A12">
            <v>4.5</v>
          </cell>
          <cell r="B12">
            <v>5.0183109296619355</v>
          </cell>
        </row>
        <row r="13">
          <cell r="A13">
            <v>5</v>
          </cell>
          <cell r="B13">
            <v>2.6109439010693496</v>
          </cell>
        </row>
        <row r="14">
          <cell r="A14">
            <v>5.0999999999999996</v>
          </cell>
          <cell r="B14">
            <v>1.9338300874323533</v>
          </cell>
        </row>
        <row r="15">
          <cell r="A15">
            <v>5.1999999999999993</v>
          </cell>
          <cell r="B15">
            <v>1.1749865005658844</v>
          </cell>
        </row>
        <row r="16">
          <cell r="A16">
            <v>5.2999999999999989</v>
          </cell>
          <cell r="B16">
            <v>0.3258175451852896</v>
          </cell>
        </row>
        <row r="17">
          <cell r="A17">
            <v>5.3099999999999987</v>
          </cell>
          <cell r="B17">
            <v>0.23557534498642596</v>
          </cell>
        </row>
        <row r="18">
          <cell r="A18">
            <v>5.3199999999999985</v>
          </cell>
          <cell r="B18">
            <v>0.14432569392667816</v>
          </cell>
        </row>
        <row r="19">
          <cell r="A19">
            <v>5.3299999999999983</v>
          </cell>
          <cell r="B19">
            <v>5.2058466956568239E-2</v>
          </cell>
        </row>
        <row r="20">
          <cell r="A20">
            <v>5.3309999999999986</v>
          </cell>
          <cell r="B20">
            <v>4.2775384739337952E-2</v>
          </cell>
        </row>
        <row r="21">
          <cell r="A21">
            <v>5.331999999999999</v>
          </cell>
          <cell r="B21">
            <v>3.3482014296632556E-2</v>
          </cell>
        </row>
        <row r="22">
          <cell r="A22">
            <v>5.3329999999999993</v>
          </cell>
          <cell r="B22">
            <v>2.4178345335082341E-2</v>
          </cell>
        </row>
        <row r="23">
          <cell r="A23">
            <v>5.3339999999999996</v>
          </cell>
          <cell r="B23">
            <v>1.4864367551021829E-2</v>
          </cell>
        </row>
        <row r="24">
          <cell r="A24">
            <v>5.335</v>
          </cell>
          <cell r="B24">
            <v>5.5400706304684633E-3</v>
          </cell>
        </row>
        <row r="25">
          <cell r="A25">
            <v>5.3360000000000003</v>
          </cell>
          <cell r="B25">
            <v>-3.7945557508773931E-3</v>
          </cell>
        </row>
        <row r="26">
          <cell r="A26">
            <v>5.3370000000000006</v>
          </cell>
          <cell r="B26">
            <v>-1.3139521927639564E-2</v>
          </cell>
        </row>
        <row r="27">
          <cell r="A27">
            <v>5.5</v>
          </cell>
          <cell r="B27">
            <v>-1.6824939607034732</v>
          </cell>
        </row>
      </sheetData>
      <sheetData sheetId="9"/>
      <sheetData sheetId="10"/>
      <sheetData sheetId="11"/>
      <sheetData sheetId="12"/>
      <sheetData sheetId="13"/>
      <sheetData sheetId="14"/>
      <sheetData sheetId="15">
        <row r="3">
          <cell r="A3" t="str">
            <v>Indices annuels de prix selon la composition du ménage</v>
          </cell>
        </row>
        <row r="4">
          <cell r="A4" t="str">
            <v>Période 1998 - 2013</v>
          </cell>
        </row>
        <row r="5">
          <cell r="A5" t="str">
            <v>Base 100 en 1998</v>
          </cell>
        </row>
        <row r="7">
          <cell r="I7" t="str">
            <v>ECARTS INDICES / ENSEMBLE</v>
          </cell>
        </row>
        <row r="8">
          <cell r="A8" t="str">
            <v>date</v>
          </cell>
          <cell r="I8" t="str">
            <v>Personne seule</v>
          </cell>
          <cell r="J8" t="str">
            <v>Couple sans enfant</v>
          </cell>
          <cell r="K8" t="str">
            <v>Couple avec 1 enfant</v>
          </cell>
        </row>
        <row r="9">
          <cell r="A9">
            <v>35796</v>
          </cell>
          <cell r="I9">
            <v>0</v>
          </cell>
          <cell r="J9">
            <v>0</v>
          </cell>
          <cell r="K9">
            <v>0</v>
          </cell>
        </row>
        <row r="10">
          <cell r="A10">
            <v>36161</v>
          </cell>
          <cell r="I10">
            <v>3.1214721232785791E-2</v>
          </cell>
          <cell r="J10">
            <v>-7.4525498325215267E-2</v>
          </cell>
          <cell r="K10">
            <v>1.9579008941789766E-2</v>
          </cell>
        </row>
        <row r="11">
          <cell r="A11">
            <v>36526</v>
          </cell>
          <cell r="I11">
            <v>-0.20290901773822156</v>
          </cell>
          <cell r="J11">
            <v>1.516110215177946E-2</v>
          </cell>
          <cell r="K11">
            <v>4.7373774651788381E-2</v>
          </cell>
        </row>
        <row r="12">
          <cell r="A12">
            <v>36892</v>
          </cell>
          <cell r="I12">
            <v>-0.28174294093705043</v>
          </cell>
          <cell r="J12">
            <v>3.4855868485948349E-2</v>
          </cell>
          <cell r="K12">
            <v>3.2076746933952904E-2</v>
          </cell>
        </row>
        <row r="13">
          <cell r="A13">
            <v>37257</v>
          </cell>
          <cell r="I13">
            <v>-0.18490992040310061</v>
          </cell>
          <cell r="J13">
            <v>-1.581163717111167E-2</v>
          </cell>
          <cell r="K13">
            <v>1.2194310826899368E-2</v>
          </cell>
        </row>
        <row r="14">
          <cell r="A14">
            <v>37622</v>
          </cell>
          <cell r="I14">
            <v>-8.0078494844769921E-2</v>
          </cell>
          <cell r="J14">
            <v>-9.9151287995766779E-2</v>
          </cell>
          <cell r="K14">
            <v>-1.3772881637763135E-2</v>
          </cell>
        </row>
        <row r="15">
          <cell r="A15">
            <v>37987</v>
          </cell>
          <cell r="I15">
            <v>-5.7904613778660519E-2</v>
          </cell>
          <cell r="J15">
            <v>-0.37381030118666558</v>
          </cell>
          <cell r="K15">
            <v>5.5988525859334004E-2</v>
          </cell>
        </row>
        <row r="16">
          <cell r="A16">
            <v>38353</v>
          </cell>
          <cell r="I16">
            <v>3.5711404809219971E-2</v>
          </cell>
          <cell r="J16">
            <v>-0.48575878857178623</v>
          </cell>
          <cell r="K16">
            <v>6.647992279221171E-2</v>
          </cell>
        </row>
        <row r="17">
          <cell r="A17">
            <v>38718</v>
          </cell>
          <cell r="I17">
            <v>9.0475978325699202E-2</v>
          </cell>
          <cell r="J17">
            <v>-0.57266056789930531</v>
          </cell>
          <cell r="K17">
            <v>4.7009095281694613E-2</v>
          </cell>
        </row>
        <row r="18">
          <cell r="A18">
            <v>39083</v>
          </cell>
          <cell r="I18">
            <v>7.2706869149087083E-2</v>
          </cell>
          <cell r="J18">
            <v>-0.69865684491691127</v>
          </cell>
          <cell r="K18">
            <v>4.9854896580086461E-2</v>
          </cell>
        </row>
        <row r="19">
          <cell r="A19">
            <v>39448</v>
          </cell>
          <cell r="I19">
            <v>-3.8580645530885249E-2</v>
          </cell>
          <cell r="J19">
            <v>-0.70132984897787765</v>
          </cell>
          <cell r="K19">
            <v>9.5981610467120504E-2</v>
          </cell>
        </row>
        <row r="20">
          <cell r="A20">
            <v>39814</v>
          </cell>
          <cell r="I20">
            <v>-0.12217779177673549</v>
          </cell>
          <cell r="J20">
            <v>-0.97337569511672939</v>
          </cell>
          <cell r="K20">
            <v>6.7996516833261467E-2</v>
          </cell>
        </row>
        <row r="21">
          <cell r="A21">
            <v>40179</v>
          </cell>
          <cell r="I21">
            <v>-0.13705625646721842</v>
          </cell>
          <cell r="J21">
            <v>-1.022242555569207</v>
          </cell>
          <cell r="K21">
            <v>0.1236176154257862</v>
          </cell>
        </row>
        <row r="22">
          <cell r="A22">
            <v>40544</v>
          </cell>
          <cell r="I22">
            <v>-0.21574390806836163</v>
          </cell>
          <cell r="J22">
            <v>-1.0621282671483527</v>
          </cell>
          <cell r="K22">
            <v>0.17660905415463901</v>
          </cell>
        </row>
        <row r="23">
          <cell r="A23">
            <v>40909</v>
          </cell>
          <cell r="I23">
            <v>-0.2557840753962779</v>
          </cell>
          <cell r="J23">
            <v>-1.0533966525445919</v>
          </cell>
          <cell r="K23">
            <v>0.17350673985509957</v>
          </cell>
        </row>
        <row r="24">
          <cell r="A24">
            <v>41275</v>
          </cell>
          <cell r="I24">
            <v>-0.23604581071757025</v>
          </cell>
          <cell r="J24">
            <v>-1.146230786906969</v>
          </cell>
          <cell r="K24">
            <v>0.13027465996015053</v>
          </cell>
        </row>
        <row r="26">
          <cell r="A26" t="str">
            <v>Source Insee</v>
          </cell>
        </row>
      </sheetData>
      <sheetData sheetId="16"/>
      <sheetData sheetId="17"/>
      <sheetData sheetId="18"/>
      <sheetData sheetId="1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s_annuels"/>
      <sheetName val="Tableau1"/>
      <sheetName val="Tableau2"/>
      <sheetName val="Tableau3"/>
      <sheetName val="Graphique1"/>
      <sheetName val="Contribution"/>
    </sheetNames>
    <sheetDataSet>
      <sheetData sheetId="0"/>
      <sheetData sheetId="1" refreshError="1"/>
      <sheetData sheetId="2">
        <row r="4">
          <cell r="C4">
            <v>13.722788057616636</v>
          </cell>
          <cell r="D4">
            <v>16.590591429963073</v>
          </cell>
          <cell r="E4">
            <v>14.76106548137372</v>
          </cell>
        </row>
        <row r="5">
          <cell r="C5">
            <v>3.9961338352296245</v>
          </cell>
          <cell r="D5">
            <v>3.8952416925280997</v>
          </cell>
          <cell r="E5">
            <v>3.6069860922471575</v>
          </cell>
        </row>
        <row r="6">
          <cell r="C6">
            <v>3.7500292413400143</v>
          </cell>
          <cell r="D6">
            <v>4.2048848363081612</v>
          </cell>
          <cell r="E6">
            <v>5.1815523179468004</v>
          </cell>
        </row>
        <row r="7">
          <cell r="C7">
            <v>20.99130158278647</v>
          </cell>
          <cell r="D7">
            <v>12.917569868313636</v>
          </cell>
          <cell r="E7">
            <v>11.843356429022684</v>
          </cell>
        </row>
        <row r="8">
          <cell r="C8">
            <v>5.7126740378911087</v>
          </cell>
          <cell r="D8">
            <v>7.1088287377041821</v>
          </cell>
          <cell r="E8">
            <v>5.7209208162695431</v>
          </cell>
        </row>
        <row r="9">
          <cell r="C9">
            <v>10.594797676635553</v>
          </cell>
          <cell r="D9">
            <v>12.906440086994037</v>
          </cell>
          <cell r="E9">
            <v>8.7277591768043479</v>
          </cell>
        </row>
        <row r="10">
          <cell r="C10">
            <v>13.800194776540343</v>
          </cell>
          <cell r="D10">
            <v>15.378129488768993</v>
          </cell>
          <cell r="E10">
            <v>17.547114422462293</v>
          </cell>
        </row>
        <row r="11">
          <cell r="C11">
            <v>2.859869709403088</v>
          </cell>
          <cell r="D11">
            <v>2.308638518755231</v>
          </cell>
          <cell r="E11">
            <v>2.5855066890966061</v>
          </cell>
        </row>
        <row r="12">
          <cell r="C12">
            <v>8.2766229617651064</v>
          </cell>
          <cell r="D12">
            <v>8.6732260104844521</v>
          </cell>
          <cell r="E12">
            <v>7.8374589478349872</v>
          </cell>
        </row>
        <row r="13">
          <cell r="C13">
            <v>8.4338881492652396E-2</v>
          </cell>
          <cell r="D13">
            <v>2.8682661136731458E-2</v>
          </cell>
          <cell r="E13">
            <v>0.2072811544840647</v>
          </cell>
        </row>
        <row r="14">
          <cell r="C14">
            <v>7.4050928095331727</v>
          </cell>
          <cell r="D14">
            <v>6.8205809649719438</v>
          </cell>
          <cell r="E14">
            <v>7.37872076945093</v>
          </cell>
        </row>
        <row r="15">
          <cell r="C15">
            <v>8.8061564297662294</v>
          </cell>
          <cell r="D15">
            <v>9.1671857040714606</v>
          </cell>
          <cell r="E15">
            <v>14.602277703006864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"/>
  <sheetViews>
    <sheetView tabSelected="1" workbookViewId="0">
      <selection activeCell="C7" sqref="C7"/>
    </sheetView>
  </sheetViews>
  <sheetFormatPr baseColWidth="10" defaultRowHeight="14.4" x14ac:dyDescent="0.3"/>
  <cols>
    <col min="1" max="1" width="6.88671875" customWidth="1"/>
    <col min="2" max="2" width="7.44140625" customWidth="1"/>
    <col min="3" max="3" width="8.6640625" customWidth="1"/>
    <col min="4" max="4" width="9.88671875" customWidth="1"/>
    <col min="5" max="5" width="13.109375" customWidth="1"/>
    <col min="6" max="6" width="11" customWidth="1"/>
    <col min="7" max="7" width="7.109375" customWidth="1"/>
    <col min="8" max="8" width="10.5546875" customWidth="1"/>
  </cols>
  <sheetData>
    <row r="1" spans="1:10" ht="18" x14ac:dyDescent="0.35">
      <c r="A1" s="1" t="s">
        <v>0</v>
      </c>
      <c r="C1" s="2" t="s">
        <v>1</v>
      </c>
      <c r="D1" s="3"/>
      <c r="E1" s="4" t="s">
        <v>2</v>
      </c>
      <c r="F1" s="4" t="s">
        <v>3</v>
      </c>
      <c r="G1" s="4" t="s">
        <v>4</v>
      </c>
      <c r="H1" s="5" t="s">
        <v>5</v>
      </c>
      <c r="I1" s="6" t="s">
        <v>6</v>
      </c>
      <c r="J1" s="6"/>
    </row>
    <row r="2" spans="1:10" x14ac:dyDescent="0.3">
      <c r="A2" s="7" t="s">
        <v>7</v>
      </c>
      <c r="B2" s="8" t="s">
        <v>8</v>
      </c>
      <c r="C2" s="9" t="s">
        <v>9</v>
      </c>
      <c r="D2" s="10" t="s">
        <v>10</v>
      </c>
      <c r="E2" s="11" t="s">
        <v>11</v>
      </c>
      <c r="F2" s="11" t="s">
        <v>12</v>
      </c>
      <c r="G2" s="11"/>
      <c r="H2" s="12" t="s">
        <v>13</v>
      </c>
      <c r="I2" s="13" t="s">
        <v>14</v>
      </c>
      <c r="J2" s="13" t="s">
        <v>1</v>
      </c>
    </row>
    <row r="3" spans="1:10" x14ac:dyDescent="0.3">
      <c r="A3">
        <v>0.1</v>
      </c>
      <c r="B3">
        <f>5+A3-EXP(A3-3)</f>
        <v>5.0449767799435925</v>
      </c>
      <c r="C3" s="14">
        <v>5</v>
      </c>
      <c r="D3" s="15">
        <v>6</v>
      </c>
      <c r="E3" s="15">
        <f>(C3+D3)/2</f>
        <v>5.5</v>
      </c>
      <c r="F3" s="15">
        <f t="shared" ref="F3:F10" si="0">(5+C3-EXP(C3-3))*(5+E3-EXP(E3-3))</f>
        <v>-4.3928973452847471</v>
      </c>
      <c r="G3" s="15" t="str">
        <f>IF(F3&lt;0, "négatif","positif")</f>
        <v>négatif</v>
      </c>
      <c r="H3" s="16">
        <f>D3-C3</f>
        <v>1</v>
      </c>
    </row>
    <row r="4" spans="1:10" x14ac:dyDescent="0.3">
      <c r="A4">
        <v>0.3</v>
      </c>
      <c r="B4">
        <f t="shared" ref="B4:B26" si="1">5+A4-EXP(A4-3)</f>
        <v>5.2327944872602501</v>
      </c>
      <c r="C4" s="14">
        <f>IF(F3&gt;=0,E3,C3)</f>
        <v>5</v>
      </c>
      <c r="D4" s="15">
        <f>IF(F3&lt;0,E3,D3)</f>
        <v>5.5</v>
      </c>
      <c r="E4" s="15">
        <f>(C4+D4)/2</f>
        <v>5.25</v>
      </c>
      <c r="F4" s="15">
        <f t="shared" si="0"/>
        <v>1.9902289690634345</v>
      </c>
      <c r="G4" s="15" t="str">
        <f>IF(F4&lt;0, "négatif","positif")</f>
        <v>positif</v>
      </c>
      <c r="H4" s="16">
        <f>D4-C4</f>
        <v>0.5</v>
      </c>
    </row>
    <row r="5" spans="1:10" x14ac:dyDescent="0.3">
      <c r="A5">
        <v>1</v>
      </c>
      <c r="B5">
        <f t="shared" si="1"/>
        <v>5.8646647167633876</v>
      </c>
      <c r="C5" s="14">
        <f t="shared" ref="C5:C10" si="2">IF(F4&gt;=0,E4,C4)</f>
        <v>5.25</v>
      </c>
      <c r="D5" s="15">
        <f>IF(F4&lt;0,E4,D4)</f>
        <v>5.5</v>
      </c>
      <c r="E5" s="15">
        <f>(C5+D5)/2</f>
        <v>5.375</v>
      </c>
      <c r="F5" s="15">
        <f t="shared" si="0"/>
        <v>-0.28662137680265837</v>
      </c>
      <c r="G5" s="15" t="str">
        <f>IF(F5&lt;0, "négatif","positif")</f>
        <v>négatif</v>
      </c>
      <c r="H5" s="16">
        <f>D5-C5</f>
        <v>0.25</v>
      </c>
    </row>
    <row r="6" spans="1:10" x14ac:dyDescent="0.3">
      <c r="A6">
        <f>A5+0.5</f>
        <v>1.5</v>
      </c>
      <c r="B6">
        <f t="shared" si="1"/>
        <v>6.2768698398515701</v>
      </c>
      <c r="C6" s="14">
        <f t="shared" si="2"/>
        <v>5.25</v>
      </c>
      <c r="D6" s="15">
        <f t="shared" ref="D6:D10" si="3">IF(F5&lt;0,E5,D5)</f>
        <v>5.375</v>
      </c>
      <c r="E6" s="15">
        <f t="shared" ref="E6:E10" si="4">(C6+D6)/2</f>
        <v>5.3125</v>
      </c>
      <c r="F6" s="15">
        <f t="shared" si="0"/>
        <v>0.1622538534690324</v>
      </c>
      <c r="G6" s="15" t="str">
        <f t="shared" ref="G6:G10" si="5">IF(F6&lt;0, "négatif","positif")</f>
        <v>positif</v>
      </c>
      <c r="H6" s="16">
        <f t="shared" ref="H6:H10" si="6">D6-C6</f>
        <v>0.125</v>
      </c>
    </row>
    <row r="7" spans="1:10" x14ac:dyDescent="0.3">
      <c r="A7">
        <f t="shared" ref="A7:A13" si="7">A6+0.5</f>
        <v>2</v>
      </c>
      <c r="B7">
        <f t="shared" si="1"/>
        <v>6.6321205588285572</v>
      </c>
      <c r="C7" s="14"/>
      <c r="D7" s="15"/>
      <c r="E7" s="15"/>
      <c r="F7" s="15"/>
      <c r="G7" s="15"/>
      <c r="H7" s="16"/>
    </row>
    <row r="8" spans="1:10" x14ac:dyDescent="0.3">
      <c r="A8">
        <f t="shared" si="7"/>
        <v>2.5</v>
      </c>
      <c r="B8">
        <f t="shared" si="1"/>
        <v>6.8934693402873668</v>
      </c>
      <c r="C8" s="14"/>
      <c r="D8" s="15"/>
      <c r="E8" s="15"/>
      <c r="F8" s="15"/>
      <c r="G8" s="15"/>
      <c r="H8" s="16"/>
    </row>
    <row r="9" spans="1:10" x14ac:dyDescent="0.3">
      <c r="A9">
        <f t="shared" si="7"/>
        <v>3</v>
      </c>
      <c r="B9">
        <f t="shared" si="1"/>
        <v>7</v>
      </c>
      <c r="C9" s="14"/>
      <c r="D9" s="15"/>
      <c r="E9" s="15"/>
      <c r="F9" s="15"/>
      <c r="G9" s="15"/>
      <c r="H9" s="16"/>
    </row>
    <row r="10" spans="1:10" x14ac:dyDescent="0.3">
      <c r="A10">
        <f t="shared" si="7"/>
        <v>3.5</v>
      </c>
      <c r="B10">
        <f t="shared" si="1"/>
        <v>6.8512787292998718</v>
      </c>
      <c r="C10" s="14"/>
      <c r="D10" s="15"/>
      <c r="E10" s="15"/>
      <c r="F10" s="15"/>
      <c r="G10" s="15"/>
      <c r="H10" s="16"/>
    </row>
    <row r="11" spans="1:10" x14ac:dyDescent="0.3">
      <c r="A11">
        <f t="shared" si="7"/>
        <v>4</v>
      </c>
      <c r="B11">
        <f t="shared" si="1"/>
        <v>6.2817181715409554</v>
      </c>
      <c r="C11" s="14"/>
      <c r="D11" s="15"/>
      <c r="E11" s="15"/>
      <c r="F11" s="15"/>
      <c r="G11" s="15"/>
      <c r="H11" s="16"/>
    </row>
    <row r="12" spans="1:10" x14ac:dyDescent="0.3">
      <c r="A12">
        <f t="shared" si="7"/>
        <v>4.5</v>
      </c>
      <c r="B12">
        <f t="shared" si="1"/>
        <v>5.0183109296619355</v>
      </c>
      <c r="C12" s="14"/>
      <c r="D12" s="15"/>
      <c r="E12" s="15"/>
      <c r="F12" s="15"/>
      <c r="G12" s="15"/>
      <c r="H12" s="16"/>
    </row>
    <row r="13" spans="1:10" x14ac:dyDescent="0.3">
      <c r="A13">
        <f t="shared" si="7"/>
        <v>5</v>
      </c>
      <c r="B13">
        <f t="shared" si="1"/>
        <v>2.6109439010693496</v>
      </c>
      <c r="C13" s="14"/>
      <c r="D13" s="15"/>
      <c r="E13" s="15"/>
      <c r="F13" s="15"/>
      <c r="G13" s="15"/>
      <c r="H13" s="16"/>
    </row>
    <row r="14" spans="1:10" x14ac:dyDescent="0.3">
      <c r="A14" s="20">
        <f>A13+0.1</f>
        <v>5.0999999999999996</v>
      </c>
      <c r="B14" s="20">
        <f t="shared" si="1"/>
        <v>1.9338300874323533</v>
      </c>
      <c r="C14" s="14"/>
      <c r="D14" s="15"/>
      <c r="E14" s="15"/>
      <c r="F14" s="15"/>
      <c r="G14" s="15"/>
      <c r="H14" s="16"/>
    </row>
    <row r="15" spans="1:10" x14ac:dyDescent="0.3">
      <c r="A15" s="20">
        <f t="shared" ref="A15:A16" si="8">A14+0.1</f>
        <v>5.1999999999999993</v>
      </c>
      <c r="B15" s="20">
        <f t="shared" si="1"/>
        <v>1.1749865005658844</v>
      </c>
      <c r="C15" s="14"/>
      <c r="D15" s="15"/>
      <c r="E15" s="15"/>
      <c r="F15" s="15"/>
      <c r="G15" s="15"/>
      <c r="H15" s="16"/>
    </row>
    <row r="16" spans="1:10" ht="15" thickBot="1" x14ac:dyDescent="0.35">
      <c r="A16" s="20">
        <f t="shared" si="8"/>
        <v>5.2999999999999989</v>
      </c>
      <c r="B16" s="20">
        <f t="shared" si="1"/>
        <v>0.3258175451852896</v>
      </c>
      <c r="C16" s="17"/>
      <c r="D16" s="18"/>
      <c r="E16" s="18"/>
      <c r="F16" s="18"/>
      <c r="G16" s="18"/>
      <c r="H16" s="19"/>
    </row>
    <row r="17" spans="1:2" x14ac:dyDescent="0.3">
      <c r="A17" s="20">
        <f>A16+0.01</f>
        <v>5.3099999999999987</v>
      </c>
      <c r="B17" s="20">
        <f t="shared" si="1"/>
        <v>0.23557534498642596</v>
      </c>
    </row>
    <row r="18" spans="1:2" x14ac:dyDescent="0.3">
      <c r="A18" s="20">
        <f t="shared" ref="A18:A19" si="9">A17+0.01</f>
        <v>5.3199999999999985</v>
      </c>
      <c r="B18" s="20">
        <f t="shared" si="1"/>
        <v>0.14432569392667816</v>
      </c>
    </row>
    <row r="19" spans="1:2" x14ac:dyDescent="0.3">
      <c r="A19" s="20">
        <f t="shared" si="9"/>
        <v>5.3299999999999983</v>
      </c>
      <c r="B19" s="20">
        <f t="shared" si="1"/>
        <v>5.2058466956568239E-2</v>
      </c>
    </row>
    <row r="20" spans="1:2" x14ac:dyDescent="0.3">
      <c r="A20" s="20">
        <f>A19+0.001</f>
        <v>5.3309999999999986</v>
      </c>
      <c r="B20" s="20">
        <f t="shared" si="1"/>
        <v>4.2775384739337952E-2</v>
      </c>
    </row>
    <row r="21" spans="1:2" x14ac:dyDescent="0.3">
      <c r="A21" s="20">
        <f t="shared" ref="A21:A26" si="10">A20+0.001</f>
        <v>5.331999999999999</v>
      </c>
      <c r="B21" s="20">
        <f t="shared" si="1"/>
        <v>3.3482014296632556E-2</v>
      </c>
    </row>
    <row r="22" spans="1:2" x14ac:dyDescent="0.3">
      <c r="A22" s="20">
        <f t="shared" si="10"/>
        <v>5.3329999999999993</v>
      </c>
      <c r="B22" s="20">
        <f t="shared" si="1"/>
        <v>2.4178345335082341E-2</v>
      </c>
    </row>
    <row r="23" spans="1:2" x14ac:dyDescent="0.3">
      <c r="A23" s="20">
        <f t="shared" si="10"/>
        <v>5.3339999999999996</v>
      </c>
      <c r="B23" s="20">
        <f t="shared" si="1"/>
        <v>1.4864367551021829E-2</v>
      </c>
    </row>
    <row r="24" spans="1:2" x14ac:dyDescent="0.3">
      <c r="A24" s="20">
        <f>A23+0.001</f>
        <v>5.335</v>
      </c>
      <c r="B24" s="20">
        <f t="shared" si="1"/>
        <v>5.5400706304684633E-3</v>
      </c>
    </row>
    <row r="25" spans="1:2" x14ac:dyDescent="0.3">
      <c r="A25" s="20">
        <f t="shared" si="10"/>
        <v>5.3360000000000003</v>
      </c>
      <c r="B25" s="20">
        <f t="shared" si="1"/>
        <v>-3.7945557508773931E-3</v>
      </c>
    </row>
    <row r="26" spans="1:2" x14ac:dyDescent="0.3">
      <c r="A26" s="20">
        <f t="shared" si="10"/>
        <v>5.3370000000000006</v>
      </c>
      <c r="B26" s="20">
        <f t="shared" si="1"/>
        <v>-1.3139521927639564E-2</v>
      </c>
    </row>
    <row r="27" spans="1:2" x14ac:dyDescent="0.3">
      <c r="A27">
        <v>5.5</v>
      </c>
      <c r="B27">
        <f>5+A27-EXP(A27-3)</f>
        <v>-1.6824939607034732</v>
      </c>
    </row>
  </sheetData>
  <mergeCells count="2">
    <mergeCell ref="C1:D1"/>
    <mergeCell ref="I1:J1"/>
  </mergeCells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CCF5 2A 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LRM</dc:creator>
  <cp:lastModifiedBy>LRM</cp:lastModifiedBy>
  <dcterms:created xsi:type="dcterms:W3CDTF">2016-06-08T21:23:04Z</dcterms:created>
  <dcterms:modified xsi:type="dcterms:W3CDTF">2016-06-08T21:24:36Z</dcterms:modified>
</cp:coreProperties>
</file>