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8\"/>
    </mc:Choice>
  </mc:AlternateContent>
  <bookViews>
    <workbookView xWindow="0" yWindow="0" windowWidth="20652" windowHeight="9000"/>
  </bookViews>
  <sheets>
    <sheet name="CCF8 ex2" sheetId="1" r:id="rId1"/>
  </sheets>
  <externalReferences>
    <externalReference r:id="rId2"/>
    <externalReference r:id="rId3"/>
  </externalReferences>
  <definedNames>
    <definedName name="acc">OFFSET('[1]CCF8 données'!$J$9,0,0,COUNTA('[1]CCF8 données'!$J:$J)-1)</definedName>
    <definedName name="annee">OFFSET('[1]CCF8 données'!$A$9,0,0,COUNTA('[1]CCF8 données'!$A:$A)-4)</definedName>
    <definedName name="chiffre">#REF!</definedName>
    <definedName name="entete">#REF!</definedName>
    <definedName name="entete_ligne">#REF!</definedName>
    <definedName name="loc">OFFSET('[1]CCF8 données'!$K$9,0,0,COUNTA('[1]CCF8 données'!$K:$K)-1)</definedName>
    <definedName name="pro">OFFSET('[1]CCF8 données'!$I$9,0,0,COUNTA('[1]CCF8 données'!$I:$I)-2)</definedName>
    <definedName name="tab_conso">#REF!</definedName>
    <definedName name="testg">[2]Tableau2!$C$4,[2]Tableau2!$E$5,[2]Tableau2!$D$6,[2]Tableau2!$E$7,[2]Tableau2!$C$8:$D$8,[2]Tableau2!$C$9:$C$10,[2]Tableau2!$D$10,[2]Tableau2!$E$11,[2]Tableau2!$C$12:$D$12,[2]Tableau2!$D$13:$D$15</definedName>
    <definedName name="testi">[2]Tableau2!$D$4:$E$4,[2]Tableau2!$C$5:$D$5,[2]Tableau2!$E$6,[2]Tableau2!$C$6:$C$7,[2]Tableau2!$D$7,[2]Tableau2!$E$8,[2]Tableau2!$D$9:$E$9,[2]Tableau2!$E$10,[2]Tableau2!$C$11:$D$11,[2]Tableau2!$C$13:$C$15,[2]Tableau2!$E$12:$E$15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" l="1"/>
  <c r="E11" i="1"/>
</calcChain>
</file>

<file path=xl/sharedStrings.xml><?xml version="1.0" encoding="utf-8"?>
<sst xmlns="http://schemas.openxmlformats.org/spreadsheetml/2006/main" count="18" uniqueCount="15">
  <si>
    <t>Indices des prix selon la composition du ménage</t>
  </si>
  <si>
    <t>Indices</t>
  </si>
  <si>
    <t>Différence/Ensemble</t>
  </si>
  <si>
    <t>Année</t>
  </si>
  <si>
    <t>Ensemble</t>
  </si>
  <si>
    <t>Couple sans enfant</t>
  </si>
  <si>
    <t>Couple avec 2 enfants</t>
  </si>
  <si>
    <t>Taux annuel</t>
  </si>
  <si>
    <t>Données</t>
  </si>
  <si>
    <t>Modèles</t>
  </si>
  <si>
    <t>Sans enfant</t>
  </si>
  <si>
    <t>Avec  2 enfants</t>
  </si>
  <si>
    <t>x</t>
  </si>
  <si>
    <t>f(x)</t>
  </si>
  <si>
    <t>g(x)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</si>
</sst>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i/>
      <sz val="11"/>
      <color rgb="FFFF0000"/>
      <name val="Calibri"/>
      <family val="2"/>
      <scheme val="minor"/>
    </font>
    <font>
      <b/>
      <i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/>
    <xf numFmtId="0" fontId="2" fillId="0" borderId="0" xfId="0" applyFont="1"/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10" fontId="5" fillId="2" borderId="0" xfId="0" applyNumberFormat="1" applyFont="1" applyFill="1" applyBorder="1" applyAlignment="1">
      <alignment horizontal="center"/>
    </xf>
    <xf numFmtId="10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8" fillId="0" borderId="1" xfId="0" applyFont="1" applyBorder="1"/>
    <xf numFmtId="0" fontId="0" fillId="0" borderId="2" xfId="0" applyBorder="1"/>
    <xf numFmtId="0" fontId="0" fillId="0" borderId="1" xfId="0" applyBorder="1"/>
    <xf numFmtId="0" fontId="8" fillId="0" borderId="2" xfId="0" applyFont="1" applyBorder="1"/>
    <xf numFmtId="0" fontId="0" fillId="0" borderId="3" xfId="0" applyBorder="1"/>
    <xf numFmtId="0" fontId="8" fillId="0" borderId="4" xfId="0" applyFont="1" applyBorder="1" applyAlignment="1">
      <alignment horizontal="center" vertical="center"/>
    </xf>
    <xf numFmtId="2" fontId="4" fillId="0" borderId="5" xfId="0" applyNumberFormat="1" applyFont="1" applyFill="1" applyBorder="1" applyAlignment="1">
      <alignment horizontal="center" vertical="top" wrapText="1"/>
    </xf>
    <xf numFmtId="2" fontId="9" fillId="0" borderId="4" xfId="0" applyNumberFormat="1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0" fillId="0" borderId="7" xfId="0" applyBorder="1"/>
    <xf numFmtId="2" fontId="0" fillId="0" borderId="0" xfId="0" applyNumberFormat="1" applyBorder="1"/>
    <xf numFmtId="2" fontId="0" fillId="0" borderId="8" xfId="0" applyNumberFormat="1" applyBorder="1"/>
    <xf numFmtId="0" fontId="0" fillId="0" borderId="9" xfId="0" applyBorder="1"/>
    <xf numFmtId="2" fontId="0" fillId="0" borderId="10" xfId="0" applyNumberFormat="1" applyBorder="1"/>
    <xf numFmtId="2" fontId="0" fillId="0" borderId="11" xfId="0" applyNumberFormat="1" applyBorder="1"/>
    <xf numFmtId="0" fontId="0" fillId="0" borderId="7" xfId="0" applyFill="1" applyBorder="1"/>
    <xf numFmtId="2" fontId="0" fillId="0" borderId="0" xfId="0" applyNumberFormat="1" applyFill="1" applyBorder="1"/>
    <xf numFmtId="2" fontId="0" fillId="0" borderId="8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'CCF8 ex2'!$D$11:$D$29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'CCF8 ex2'!$E$11:$E$29</c:f>
              <c:numCache>
                <c:formatCode>0.00</c:formatCode>
                <c:ptCount val="19"/>
                <c:pt idx="0">
                  <c:v>0</c:v>
                </c:pt>
              </c:numCache>
            </c:numRef>
          </c:yVal>
          <c:smooth val="1"/>
        </c:ser>
        <c:ser>
          <c:idx val="1"/>
          <c:order val="1"/>
          <c:spPr>
            <a:ln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'CCF8 ex2'!$D$11:$D$29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'CCF8 ex2'!$F$11:$F$29</c:f>
              <c:numCache>
                <c:formatCode>0.00</c:formatCode>
                <c:ptCount val="19"/>
                <c:pt idx="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456648"/>
        <c:axId val="462457040"/>
      </c:scatterChart>
      <c:valAx>
        <c:axId val="462456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462457040"/>
        <c:crosses val="autoZero"/>
        <c:crossBetween val="midCat"/>
        <c:majorUnit val="2"/>
      </c:valAx>
      <c:valAx>
        <c:axId val="46245704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fr-FR"/>
          </a:p>
        </c:txPr>
        <c:crossAx val="462456648"/>
        <c:crosses val="autoZero"/>
        <c:crossBetween val="midCat"/>
        <c:majorUnit val="0.25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209549</xdr:colOff>
      <xdr:row>16</xdr:row>
      <xdr:rowOff>66675</xdr:rowOff>
    </xdr:from>
    <xdr:to>
      <xdr:col>13</xdr:col>
      <xdr:colOff>590550</xdr:colOff>
      <xdr:row>30</xdr:row>
      <xdr:rowOff>142875</xdr:rowOff>
    </xdr:to>
    <xdr:graphicFrame macro="">
      <xdr:nvGraphicFramePr>
        <xdr:cNvPr id="3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259080</xdr:colOff>
      <xdr:row>0</xdr:row>
      <xdr:rowOff>99060</xdr:rowOff>
    </xdr:from>
    <xdr:to>
      <xdr:col>12</xdr:col>
      <xdr:colOff>434340</xdr:colOff>
      <xdr:row>15</xdr:row>
      <xdr:rowOff>170040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94860" y="99060"/>
          <a:ext cx="4511040" cy="33247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%20Hachette%20et%20lyc&#233;e/2015%20BTS/BTS%20CCF%20finaux/CCF%20fin%202e%20Ann&#233;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ydia%20RM\Downloads\fm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F1"/>
      <sheetName val="CCF1cor"/>
      <sheetName val="CCF2"/>
      <sheetName val="CCF3"/>
      <sheetName val="CCF4 1"/>
      <sheetName val="CCF4"/>
      <sheetName val="CCF4b"/>
      <sheetName val="CCF5 2A "/>
      <sheetName val="CCF6"/>
      <sheetName val="CCF7 ex1"/>
      <sheetName val="CCF7 ex2"/>
      <sheetName val="CCF8 ex2"/>
      <sheetName val="CCF8 données"/>
      <sheetName val="CCF9"/>
      <sheetName val="CCF11 ex1"/>
      <sheetName val="CCF12"/>
      <sheetName val="CCF13"/>
      <sheetName val="CCF5"/>
      <sheetName val="CCF14"/>
      <sheetName val="CCF ex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1">
          <cell r="A11">
            <v>1998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A12">
            <v>1999</v>
          </cell>
          <cell r="B12">
            <v>-7.4525498325215267E-2</v>
          </cell>
          <cell r="C12">
            <v>4.482591528977764E-2</v>
          </cell>
          <cell r="D12">
            <v>1</v>
          </cell>
          <cell r="E12">
            <v>-1.4313944565683467E-2</v>
          </cell>
          <cell r="F12">
            <v>1.0751545472539537E-2</v>
          </cell>
        </row>
        <row r="13">
          <cell r="A13">
            <v>2000</v>
          </cell>
          <cell r="B13">
            <v>1.516110215177946E-2</v>
          </cell>
          <cell r="C13">
            <v>0.12361814310177976</v>
          </cell>
          <cell r="D13">
            <v>2</v>
          </cell>
          <cell r="E13">
            <v>-5.6239455506994274E-2</v>
          </cell>
          <cell r="F13">
            <v>4.2431647820252216E-2</v>
          </cell>
        </row>
        <row r="14">
          <cell r="A14">
            <v>2001</v>
          </cell>
          <cell r="B14">
            <v>3.4855868485948349E-2</v>
          </cell>
          <cell r="C14">
            <v>0.14876588123995305</v>
          </cell>
          <cell r="D14">
            <v>3</v>
          </cell>
          <cell r="E14">
            <v>-0.12284688428347823</v>
          </cell>
          <cell r="F14">
            <v>9.3367570266470246E-2</v>
          </cell>
        </row>
        <row r="15">
          <cell r="A15">
            <v>2002</v>
          </cell>
          <cell r="B15">
            <v>-1.581163717111167E-2</v>
          </cell>
          <cell r="C15">
            <v>0.14423546025089706</v>
          </cell>
          <cell r="D15">
            <v>4</v>
          </cell>
          <cell r="E15">
            <v>-0.20963175780998122</v>
          </cell>
          <cell r="F15">
            <v>0.16093470232895402</v>
          </cell>
        </row>
        <row r="16">
          <cell r="A16">
            <v>2003</v>
          </cell>
          <cell r="B16">
            <v>-9.9151287995766779E-2</v>
          </cell>
          <cell r="C16">
            <v>0.12075132337523087</v>
          </cell>
          <cell r="D16">
            <v>5</v>
          </cell>
          <cell r="E16">
            <v>-0.31101813518193855</v>
          </cell>
          <cell r="F16">
            <v>0.2417805374887475</v>
          </cell>
        </row>
        <row r="17">
          <cell r="A17">
            <v>2004</v>
          </cell>
          <cell r="B17">
            <v>-0.37381030118666558</v>
          </cell>
          <cell r="C17">
            <v>0.24094301022533671</v>
          </cell>
          <cell r="D17">
            <v>6</v>
          </cell>
          <cell r="E17">
            <v>-0.420948747977823</v>
          </cell>
          <cell r="F17">
            <v>0.33209970914418896</v>
          </cell>
        </row>
        <row r="18">
          <cell r="A18">
            <v>2005</v>
          </cell>
          <cell r="B18">
            <v>-0.48575878857178623</v>
          </cell>
          <cell r="C18">
            <v>0.31144744326421403</v>
          </cell>
          <cell r="D18">
            <v>7</v>
          </cell>
          <cell r="E18">
            <v>-0.53347554156237809</v>
          </cell>
          <cell r="F18">
            <v>0.42792875211245252</v>
          </cell>
        </row>
        <row r="19">
          <cell r="A19">
            <v>2006</v>
          </cell>
          <cell r="B19">
            <v>-0.57266056789930531</v>
          </cell>
          <cell r="C19">
            <v>0.38814270056670352</v>
          </cell>
          <cell r="D19">
            <v>8</v>
          </cell>
          <cell r="E19">
            <v>-0.64327197469002395</v>
          </cell>
          <cell r="F19">
            <v>0.5254290657638131</v>
          </cell>
        </row>
        <row r="20">
          <cell r="A20">
            <v>2007</v>
          </cell>
          <cell r="B20">
            <v>-0.69865684491691127</v>
          </cell>
          <cell r="C20">
            <v>0.52053345426507747</v>
          </cell>
          <cell r="D20">
            <v>9</v>
          </cell>
          <cell r="E20">
            <v>-0.74600924437430782</v>
          </cell>
          <cell r="F20">
            <v>0.62113063186184891</v>
          </cell>
        </row>
        <row r="21">
          <cell r="A21">
            <v>2008</v>
          </cell>
          <cell r="B21">
            <v>-0.70132984897787765</v>
          </cell>
          <cell r="C21">
            <v>0.56220942021111853</v>
          </cell>
          <cell r="D21">
            <v>10</v>
          </cell>
          <cell r="E21">
            <v>-0.83856694570535739</v>
          </cell>
          <cell r="F21">
            <v>0.71211640831128098</v>
          </cell>
        </row>
        <row r="22">
          <cell r="A22">
            <v>2009</v>
          </cell>
          <cell r="B22">
            <v>-0.97337569511672939</v>
          </cell>
          <cell r="C22">
            <v>0.84994801290226007</v>
          </cell>
          <cell r="D22">
            <v>11</v>
          </cell>
          <cell r="E22">
            <v>-0.91907806038530127</v>
          </cell>
          <cell r="F22">
            <v>0.79613654596231553</v>
          </cell>
        </row>
        <row r="23">
          <cell r="A23">
            <v>2010</v>
          </cell>
          <cell r="B23">
            <v>-1.022242555569207</v>
          </cell>
          <cell r="C23">
            <v>0.87689465680078627</v>
          </cell>
          <cell r="D23">
            <v>12</v>
          </cell>
          <cell r="E23">
            <v>-0.98683279968583804</v>
          </cell>
          <cell r="F23">
            <v>0.87165107595551028</v>
          </cell>
        </row>
        <row r="24">
          <cell r="A24">
            <v>2011</v>
          </cell>
          <cell r="B24">
            <v>-1.0621282671483527</v>
          </cell>
          <cell r="C24">
            <v>0.94453668804364099</v>
          </cell>
          <cell r="D24">
            <v>13</v>
          </cell>
          <cell r="E24">
            <v>-1.0420818539555592</v>
          </cell>
          <cell r="F24">
            <v>0.93780805873828421</v>
          </cell>
        </row>
        <row r="25">
          <cell r="A25">
            <v>2012</v>
          </cell>
          <cell r="B25">
            <v>-1.0533966525445919</v>
          </cell>
          <cell r="C25">
            <v>0.97029489938901747</v>
          </cell>
          <cell r="D25">
            <v>14</v>
          </cell>
          <cell r="E25">
            <v>-1.0857856625971829</v>
          </cell>
          <cell r="F25">
            <v>0.99437032932797109</v>
          </cell>
        </row>
        <row r="26">
          <cell r="A26">
            <v>2013</v>
          </cell>
          <cell r="B26">
            <v>-1.146230786906969</v>
          </cell>
          <cell r="C26">
            <v>1.0620512958336548</v>
          </cell>
          <cell r="D26">
            <v>15</v>
          </cell>
          <cell r="E26">
            <v>-1.1193533847123003</v>
          </cell>
          <cell r="F26">
            <v>1.0416073881746037</v>
          </cell>
        </row>
        <row r="27">
          <cell r="D27">
            <v>16</v>
          </cell>
          <cell r="E27">
            <v>-1.1444059136062052</v>
          </cell>
          <cell r="F27">
            <v>1.080169668779636</v>
          </cell>
        </row>
        <row r="28">
          <cell r="D28">
            <v>17</v>
          </cell>
          <cell r="E28">
            <v>-1.1625848076024545</v>
          </cell>
          <cell r="F28">
            <v>1.1109607898873606</v>
          </cell>
        </row>
        <row r="29">
          <cell r="D29">
            <v>18</v>
          </cell>
          <cell r="E29">
            <v>-1.1754164668224243</v>
          </cell>
          <cell r="F29">
            <v>1.1350201750860909</v>
          </cell>
        </row>
      </sheetData>
      <sheetData sheetId="12">
        <row r="3">
          <cell r="A3" t="str">
            <v>Indices annuels de prix selon la composition du ménage</v>
          </cell>
        </row>
        <row r="4">
          <cell r="A4" t="str">
            <v>Période 1998 - 2013</v>
          </cell>
        </row>
        <row r="5">
          <cell r="A5" t="str">
            <v>Base 100 en 1998</v>
          </cell>
        </row>
        <row r="7">
          <cell r="I7" t="str">
            <v>ECARTS INDICES / ENSEMBLE</v>
          </cell>
        </row>
        <row r="8">
          <cell r="A8" t="str">
            <v>date</v>
          </cell>
          <cell r="I8" t="str">
            <v>Personne seule</v>
          </cell>
          <cell r="J8" t="str">
            <v>Couple sans enfant</v>
          </cell>
          <cell r="K8" t="str">
            <v>Couple avec 1 enfant</v>
          </cell>
        </row>
        <row r="9">
          <cell r="A9">
            <v>35796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36161</v>
          </cell>
          <cell r="I10">
            <v>3.1214721232785791E-2</v>
          </cell>
          <cell r="J10">
            <v>-7.4525498325215267E-2</v>
          </cell>
          <cell r="K10">
            <v>1.9579008941789766E-2</v>
          </cell>
        </row>
        <row r="11">
          <cell r="A11">
            <v>36526</v>
          </cell>
          <cell r="I11">
            <v>-0.20290901773822156</v>
          </cell>
          <cell r="J11">
            <v>1.516110215177946E-2</v>
          </cell>
          <cell r="K11">
            <v>4.7373774651788381E-2</v>
          </cell>
        </row>
        <row r="12">
          <cell r="A12">
            <v>36892</v>
          </cell>
          <cell r="I12">
            <v>-0.28174294093705043</v>
          </cell>
          <cell r="J12">
            <v>3.4855868485948349E-2</v>
          </cell>
          <cell r="K12">
            <v>3.2076746933952904E-2</v>
          </cell>
        </row>
        <row r="13">
          <cell r="A13">
            <v>37257</v>
          </cell>
          <cell r="I13">
            <v>-0.18490992040310061</v>
          </cell>
          <cell r="J13">
            <v>-1.581163717111167E-2</v>
          </cell>
          <cell r="K13">
            <v>1.2194310826899368E-2</v>
          </cell>
        </row>
        <row r="14">
          <cell r="A14">
            <v>37622</v>
          </cell>
          <cell r="I14">
            <v>-8.0078494844769921E-2</v>
          </cell>
          <cell r="J14">
            <v>-9.9151287995766779E-2</v>
          </cell>
          <cell r="K14">
            <v>-1.3772881637763135E-2</v>
          </cell>
        </row>
        <row r="15">
          <cell r="A15">
            <v>37987</v>
          </cell>
          <cell r="I15">
            <v>-5.7904613778660519E-2</v>
          </cell>
          <cell r="J15">
            <v>-0.37381030118666558</v>
          </cell>
          <cell r="K15">
            <v>5.5988525859334004E-2</v>
          </cell>
        </row>
        <row r="16">
          <cell r="A16">
            <v>38353</v>
          </cell>
          <cell r="I16">
            <v>3.5711404809219971E-2</v>
          </cell>
          <cell r="J16">
            <v>-0.48575878857178623</v>
          </cell>
          <cell r="K16">
            <v>6.647992279221171E-2</v>
          </cell>
        </row>
        <row r="17">
          <cell r="A17">
            <v>38718</v>
          </cell>
          <cell r="I17">
            <v>9.0475978325699202E-2</v>
          </cell>
          <cell r="J17">
            <v>-0.57266056789930531</v>
          </cell>
          <cell r="K17">
            <v>4.7009095281694613E-2</v>
          </cell>
        </row>
        <row r="18">
          <cell r="A18">
            <v>39083</v>
          </cell>
          <cell r="I18">
            <v>7.2706869149087083E-2</v>
          </cell>
          <cell r="J18">
            <v>-0.69865684491691127</v>
          </cell>
          <cell r="K18">
            <v>4.9854896580086461E-2</v>
          </cell>
        </row>
        <row r="19">
          <cell r="A19">
            <v>39448</v>
          </cell>
          <cell r="I19">
            <v>-3.8580645530885249E-2</v>
          </cell>
          <cell r="J19">
            <v>-0.70132984897787765</v>
          </cell>
          <cell r="K19">
            <v>9.5981610467120504E-2</v>
          </cell>
        </row>
        <row r="20">
          <cell r="A20">
            <v>39814</v>
          </cell>
          <cell r="I20">
            <v>-0.12217779177673549</v>
          </cell>
          <cell r="J20">
            <v>-0.97337569511672939</v>
          </cell>
          <cell r="K20">
            <v>6.7996516833261467E-2</v>
          </cell>
        </row>
        <row r="21">
          <cell r="A21">
            <v>40179</v>
          </cell>
          <cell r="I21">
            <v>-0.13705625646721842</v>
          </cell>
          <cell r="J21">
            <v>-1.022242555569207</v>
          </cell>
          <cell r="K21">
            <v>0.1236176154257862</v>
          </cell>
        </row>
        <row r="22">
          <cell r="A22">
            <v>40544</v>
          </cell>
          <cell r="I22">
            <v>-0.21574390806836163</v>
          </cell>
          <cell r="J22">
            <v>-1.0621282671483527</v>
          </cell>
          <cell r="K22">
            <v>0.17660905415463901</v>
          </cell>
        </row>
        <row r="23">
          <cell r="A23">
            <v>40909</v>
          </cell>
          <cell r="I23">
            <v>-0.2557840753962779</v>
          </cell>
          <cell r="J23">
            <v>-1.0533966525445919</v>
          </cell>
          <cell r="K23">
            <v>0.17350673985509957</v>
          </cell>
        </row>
        <row r="24">
          <cell r="A24">
            <v>41275</v>
          </cell>
          <cell r="I24">
            <v>-0.23604581071757025</v>
          </cell>
          <cell r="J24">
            <v>-1.146230786906969</v>
          </cell>
          <cell r="K24">
            <v>0.13027465996015053</v>
          </cell>
        </row>
        <row r="26">
          <cell r="A26" t="str">
            <v>Source Insee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s_annuels"/>
      <sheetName val="Tableau1"/>
      <sheetName val="Tableau2"/>
      <sheetName val="Tableau3"/>
      <sheetName val="Graphique1"/>
      <sheetName val="Contribution"/>
    </sheetNames>
    <sheetDataSet>
      <sheetData sheetId="0"/>
      <sheetData sheetId="1" refreshError="1"/>
      <sheetData sheetId="2">
        <row r="4">
          <cell r="C4">
            <v>13.722788057616636</v>
          </cell>
          <cell r="D4">
            <v>16.590591429963073</v>
          </cell>
          <cell r="E4">
            <v>14.76106548137372</v>
          </cell>
        </row>
        <row r="5">
          <cell r="C5">
            <v>3.9961338352296245</v>
          </cell>
          <cell r="D5">
            <v>3.8952416925280997</v>
          </cell>
          <cell r="E5">
            <v>3.6069860922471575</v>
          </cell>
        </row>
        <row r="6">
          <cell r="C6">
            <v>3.7500292413400143</v>
          </cell>
          <cell r="D6">
            <v>4.2048848363081612</v>
          </cell>
          <cell r="E6">
            <v>5.1815523179468004</v>
          </cell>
        </row>
        <row r="7">
          <cell r="C7">
            <v>20.99130158278647</v>
          </cell>
          <cell r="D7">
            <v>12.917569868313636</v>
          </cell>
          <cell r="E7">
            <v>11.843356429022684</v>
          </cell>
        </row>
        <row r="8">
          <cell r="C8">
            <v>5.7126740378911087</v>
          </cell>
          <cell r="D8">
            <v>7.1088287377041821</v>
          </cell>
          <cell r="E8">
            <v>5.7209208162695431</v>
          </cell>
        </row>
        <row r="9">
          <cell r="C9">
            <v>10.594797676635553</v>
          </cell>
          <cell r="D9">
            <v>12.906440086994037</v>
          </cell>
          <cell r="E9">
            <v>8.7277591768043479</v>
          </cell>
        </row>
        <row r="10">
          <cell r="C10">
            <v>13.800194776540343</v>
          </cell>
          <cell r="D10">
            <v>15.378129488768993</v>
          </cell>
          <cell r="E10">
            <v>17.547114422462293</v>
          </cell>
        </row>
        <row r="11">
          <cell r="C11">
            <v>2.859869709403088</v>
          </cell>
          <cell r="D11">
            <v>2.308638518755231</v>
          </cell>
          <cell r="E11">
            <v>2.5855066890966061</v>
          </cell>
        </row>
        <row r="12">
          <cell r="C12">
            <v>8.2766229617651064</v>
          </cell>
          <cell r="D12">
            <v>8.6732260104844521</v>
          </cell>
          <cell r="E12">
            <v>7.8374589478349872</v>
          </cell>
        </row>
        <row r="13">
          <cell r="C13">
            <v>8.4338881492652396E-2</v>
          </cell>
          <cell r="D13">
            <v>2.8682661136731458E-2</v>
          </cell>
          <cell r="E13">
            <v>0.2072811544840647</v>
          </cell>
        </row>
        <row r="14">
          <cell r="C14">
            <v>7.4050928095331727</v>
          </cell>
          <cell r="D14">
            <v>6.8205809649719438</v>
          </cell>
          <cell r="E14">
            <v>7.37872076945093</v>
          </cell>
        </row>
        <row r="15">
          <cell r="C15">
            <v>8.8061564297662294</v>
          </cell>
          <cell r="D15">
            <v>9.1671857040714606</v>
          </cell>
          <cell r="E15">
            <v>14.602277703006864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A2" sqref="A2:F6"/>
    </sheetView>
  </sheetViews>
  <sheetFormatPr baseColWidth="10" defaultRowHeight="14.4" x14ac:dyDescent="0.3"/>
  <cols>
    <col min="1" max="1" width="13.44140625" customWidth="1"/>
    <col min="2" max="2" width="11.33203125" customWidth="1"/>
    <col min="3" max="3" width="8.6640625" customWidth="1"/>
    <col min="4" max="4" width="8.44140625" customWidth="1"/>
    <col min="5" max="6" width="10.6640625" customWidth="1"/>
    <col min="7" max="7" width="11.33203125" customWidth="1"/>
    <col min="8" max="8" width="7.88671875" customWidth="1"/>
    <col min="9" max="9" width="9.33203125" customWidth="1"/>
  </cols>
  <sheetData>
    <row r="1" spans="1:9" ht="15.6" x14ac:dyDescent="0.3">
      <c r="A1" s="1" t="s">
        <v>0</v>
      </c>
      <c r="B1" s="2"/>
      <c r="C1" s="2"/>
      <c r="D1" s="2"/>
      <c r="E1" s="2"/>
      <c r="F1" s="2"/>
      <c r="G1" s="3"/>
      <c r="H1" s="3"/>
      <c r="I1" s="3"/>
    </row>
    <row r="2" spans="1:9" ht="14.4" customHeight="1" x14ac:dyDescent="0.3">
      <c r="A2" s="4" t="s">
        <v>1</v>
      </c>
      <c r="B2" s="4"/>
      <c r="C2" s="4"/>
      <c r="D2" s="4"/>
      <c r="E2" s="5" t="s">
        <v>2</v>
      </c>
      <c r="F2" s="5"/>
    </row>
    <row r="3" spans="1:9" ht="39.75" customHeight="1" x14ac:dyDescent="0.3">
      <c r="A3" s="6" t="s">
        <v>3</v>
      </c>
      <c r="B3" s="7" t="s">
        <v>4</v>
      </c>
      <c r="C3" s="7" t="s">
        <v>5</v>
      </c>
      <c r="D3" s="7" t="s">
        <v>6</v>
      </c>
      <c r="E3" s="7" t="s">
        <v>5</v>
      </c>
      <c r="F3" s="7" t="s">
        <v>6</v>
      </c>
    </row>
    <row r="4" spans="1:9" x14ac:dyDescent="0.3">
      <c r="A4" s="8">
        <v>1998</v>
      </c>
      <c r="B4" s="9">
        <v>100</v>
      </c>
      <c r="C4" s="9">
        <v>100</v>
      </c>
      <c r="D4" s="9">
        <v>100</v>
      </c>
      <c r="E4" s="10">
        <v>0</v>
      </c>
      <c r="F4" s="10">
        <v>0</v>
      </c>
    </row>
    <row r="5" spans="1:9" x14ac:dyDescent="0.3">
      <c r="A5" s="11"/>
      <c r="B5" s="12">
        <v>119.3</v>
      </c>
      <c r="C5" s="13"/>
      <c r="D5" s="13"/>
      <c r="E5" s="12">
        <v>-1</v>
      </c>
      <c r="F5" s="13"/>
    </row>
    <row r="6" spans="1:9" x14ac:dyDescent="0.3">
      <c r="A6" s="14" t="s">
        <v>7</v>
      </c>
      <c r="B6" s="15"/>
      <c r="C6" s="16"/>
      <c r="D6" s="16"/>
      <c r="E6" s="17"/>
      <c r="F6" s="17"/>
    </row>
    <row r="8" spans="1:9" ht="15" thickBot="1" x14ac:dyDescent="0.35"/>
    <row r="9" spans="1:9" ht="15" thickBot="1" x14ac:dyDescent="0.35">
      <c r="A9" s="18" t="s">
        <v>8</v>
      </c>
      <c r="B9" s="19"/>
      <c r="C9" s="19"/>
      <c r="D9" s="20"/>
      <c r="E9" s="21" t="s">
        <v>9</v>
      </c>
      <c r="F9" s="22"/>
    </row>
    <row r="10" spans="1:9" ht="27" thickBot="1" x14ac:dyDescent="0.35">
      <c r="A10" s="23" t="s">
        <v>3</v>
      </c>
      <c r="B10" s="24" t="s">
        <v>10</v>
      </c>
      <c r="C10" s="24" t="s">
        <v>11</v>
      </c>
      <c r="D10" s="25" t="s">
        <v>12</v>
      </c>
      <c r="E10" s="26" t="s">
        <v>13</v>
      </c>
      <c r="F10" s="27" t="s">
        <v>14</v>
      </c>
    </row>
    <row r="11" spans="1:9" x14ac:dyDescent="0.3">
      <c r="A11" s="28">
        <v>1998</v>
      </c>
      <c r="B11" s="29">
        <v>0</v>
      </c>
      <c r="C11" s="29">
        <v>0</v>
      </c>
      <c r="D11" s="28">
        <v>0</v>
      </c>
      <c r="E11" s="29">
        <f>1.2*EXP(-0.012*D11^2)-1.2</f>
        <v>0</v>
      </c>
      <c r="F11" s="30">
        <f>-1.2*EXP(-0.009*D11^2)+1.2</f>
        <v>0</v>
      </c>
    </row>
    <row r="12" spans="1:9" x14ac:dyDescent="0.3">
      <c r="A12" s="28">
        <v>1999</v>
      </c>
      <c r="B12" s="29">
        <v>-7.4525498325215267E-2</v>
      </c>
      <c r="C12" s="29">
        <v>4.482591528977764E-2</v>
      </c>
      <c r="D12" s="28">
        <v>1</v>
      </c>
      <c r="E12" s="29"/>
      <c r="F12" s="30"/>
    </row>
    <row r="13" spans="1:9" x14ac:dyDescent="0.3">
      <c r="A13" s="28">
        <v>2000</v>
      </c>
      <c r="B13" s="29">
        <v>1.516110215177946E-2</v>
      </c>
      <c r="C13" s="29">
        <v>0.12361814310177976</v>
      </c>
      <c r="D13" s="28">
        <v>2</v>
      </c>
      <c r="E13" s="29"/>
      <c r="F13" s="30"/>
    </row>
    <row r="14" spans="1:9" x14ac:dyDescent="0.3">
      <c r="A14" s="28">
        <v>2001</v>
      </c>
      <c r="B14" s="29">
        <v>3.4855868485948349E-2</v>
      </c>
      <c r="C14" s="29">
        <v>0.14876588123995305</v>
      </c>
      <c r="D14" s="28">
        <v>3</v>
      </c>
      <c r="E14" s="29"/>
      <c r="F14" s="30"/>
    </row>
    <row r="15" spans="1:9" x14ac:dyDescent="0.3">
      <c r="A15" s="28">
        <v>2002</v>
      </c>
      <c r="B15" s="29">
        <v>-1.581163717111167E-2</v>
      </c>
      <c r="C15" s="29">
        <v>0.14423546025089706</v>
      </c>
      <c r="D15" s="28">
        <v>4</v>
      </c>
      <c r="E15" s="29"/>
      <c r="F15" s="30"/>
    </row>
    <row r="16" spans="1:9" x14ac:dyDescent="0.3">
      <c r="A16" s="28">
        <v>2003</v>
      </c>
      <c r="B16" s="29">
        <v>-9.9151287995766779E-2</v>
      </c>
      <c r="C16" s="29">
        <v>0.12075132337523087</v>
      </c>
      <c r="D16" s="28">
        <v>5</v>
      </c>
      <c r="E16" s="29"/>
      <c r="F16" s="30"/>
    </row>
    <row r="17" spans="1:6" x14ac:dyDescent="0.3">
      <c r="A17" s="34">
        <v>2004</v>
      </c>
      <c r="B17" s="35">
        <v>-0.37381030118666558</v>
      </c>
      <c r="C17" s="35">
        <v>0.24094301022533671</v>
      </c>
      <c r="D17" s="34">
        <v>6</v>
      </c>
      <c r="E17" s="35"/>
      <c r="F17" s="36"/>
    </row>
    <row r="18" spans="1:6" x14ac:dyDescent="0.3">
      <c r="A18" s="34">
        <v>2005</v>
      </c>
      <c r="B18" s="35">
        <v>-0.48575878857178623</v>
      </c>
      <c r="C18" s="35">
        <v>0.31144744326421403</v>
      </c>
      <c r="D18" s="34">
        <v>7</v>
      </c>
      <c r="E18" s="35"/>
      <c r="F18" s="36"/>
    </row>
    <row r="19" spans="1:6" x14ac:dyDescent="0.3">
      <c r="A19" s="34">
        <v>2006</v>
      </c>
      <c r="B19" s="35">
        <v>-0.57266056789930531</v>
      </c>
      <c r="C19" s="35">
        <v>0.38814270056670352</v>
      </c>
      <c r="D19" s="34">
        <v>8</v>
      </c>
      <c r="E19" s="35"/>
      <c r="F19" s="36"/>
    </row>
    <row r="20" spans="1:6" x14ac:dyDescent="0.3">
      <c r="A20" s="34">
        <v>2007</v>
      </c>
      <c r="B20" s="35">
        <v>-0.69865684491691127</v>
      </c>
      <c r="C20" s="35">
        <v>0.52053345426507747</v>
      </c>
      <c r="D20" s="34">
        <v>9</v>
      </c>
      <c r="E20" s="35"/>
      <c r="F20" s="36"/>
    </row>
    <row r="21" spans="1:6" x14ac:dyDescent="0.3">
      <c r="A21" s="34">
        <v>2008</v>
      </c>
      <c r="B21" s="35">
        <v>-0.70132984897787765</v>
      </c>
      <c r="C21" s="35">
        <v>0.56220942021111853</v>
      </c>
      <c r="D21" s="34">
        <v>10</v>
      </c>
      <c r="E21" s="35"/>
      <c r="F21" s="36"/>
    </row>
    <row r="22" spans="1:6" x14ac:dyDescent="0.3">
      <c r="A22" s="34">
        <v>2009</v>
      </c>
      <c r="B22" s="35">
        <v>-0.97337569511672939</v>
      </c>
      <c r="C22" s="35">
        <v>0.84994801290226007</v>
      </c>
      <c r="D22" s="34">
        <v>11</v>
      </c>
      <c r="E22" s="35"/>
      <c r="F22" s="36"/>
    </row>
    <row r="23" spans="1:6" x14ac:dyDescent="0.3">
      <c r="A23" s="28">
        <v>2010</v>
      </c>
      <c r="B23" s="29">
        <v>-1.022242555569207</v>
      </c>
      <c r="C23" s="29">
        <v>0.87689465680078627</v>
      </c>
      <c r="D23" s="28">
        <v>12</v>
      </c>
      <c r="E23" s="29"/>
      <c r="F23" s="30"/>
    </row>
    <row r="24" spans="1:6" x14ac:dyDescent="0.3">
      <c r="A24" s="28">
        <v>2011</v>
      </c>
      <c r="B24" s="29">
        <v>-1.0621282671483527</v>
      </c>
      <c r="C24" s="29">
        <v>0.94453668804364099</v>
      </c>
      <c r="D24" s="28">
        <v>13</v>
      </c>
      <c r="E24" s="29"/>
      <c r="F24" s="30"/>
    </row>
    <row r="25" spans="1:6" x14ac:dyDescent="0.3">
      <c r="A25" s="28">
        <v>2012</v>
      </c>
      <c r="B25" s="29">
        <v>-1.0533966525445919</v>
      </c>
      <c r="C25" s="29">
        <v>0.97029489938901747</v>
      </c>
      <c r="D25" s="28">
        <v>14</v>
      </c>
      <c r="E25" s="29"/>
      <c r="F25" s="30"/>
    </row>
    <row r="26" spans="1:6" ht="15" thickBot="1" x14ac:dyDescent="0.35">
      <c r="A26" s="31">
        <v>2013</v>
      </c>
      <c r="B26" s="32">
        <v>-1.146230786906969</v>
      </c>
      <c r="C26" s="32">
        <v>1.0620512958336548</v>
      </c>
      <c r="D26" s="28">
        <v>15</v>
      </c>
      <c r="E26" s="29"/>
      <c r="F26" s="30"/>
    </row>
    <row r="27" spans="1:6" x14ac:dyDescent="0.3">
      <c r="D27" s="28">
        <v>16</v>
      </c>
      <c r="E27" s="29"/>
      <c r="F27" s="30"/>
    </row>
    <row r="28" spans="1:6" x14ac:dyDescent="0.3">
      <c r="D28" s="28">
        <v>17</v>
      </c>
      <c r="E28" s="29"/>
      <c r="F28" s="30"/>
    </row>
    <row r="29" spans="1:6" ht="15" thickBot="1" x14ac:dyDescent="0.35">
      <c r="D29" s="31">
        <v>18</v>
      </c>
      <c r="E29" s="32"/>
      <c r="F29" s="33"/>
    </row>
  </sheetData>
  <mergeCells count="2">
    <mergeCell ref="A2:D2"/>
    <mergeCell ref="E2:F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CCF8 ex2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2016-06-09T08:15:33Z</dcterms:created>
  <dcterms:modified xsi:type="dcterms:W3CDTF">2016-06-09T09:17:15Z</dcterms:modified>
</cp:coreProperties>
</file>