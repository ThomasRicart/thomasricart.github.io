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- BTS SNIR1\CCF Thomas\CCF LN 190321\"/>
    </mc:Choice>
  </mc:AlternateContent>
  <xr:revisionPtr revIDLastSave="0" documentId="13_ncr:1_{DAEEB7D9-EB39-4CA2-B99B-8C29F8BF774D}" xr6:coauthVersionLast="46" xr6:coauthVersionMax="46" xr10:uidLastSave="{00000000-0000-0000-0000-000000000000}"/>
  <bookViews>
    <workbookView xWindow="-28920" yWindow="-1575" windowWidth="29040" windowHeight="15990" tabRatio="500" xr2:uid="{00000000-000D-0000-FFFF-FFFF00000000}"/>
  </bookViews>
  <sheets>
    <sheet name="Feuille2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1" l="1"/>
  <c r="H23" i="1"/>
  <c r="H16" i="1"/>
  <c r="H5" i="1"/>
  <c r="G27" i="1"/>
  <c r="G25" i="1"/>
  <c r="G24" i="1"/>
  <c r="G23" i="1"/>
  <c r="G21" i="1"/>
  <c r="G19" i="1"/>
  <c r="G17" i="1"/>
  <c r="G16" i="1"/>
  <c r="G15" i="1"/>
  <c r="G13" i="1"/>
  <c r="G11" i="1"/>
  <c r="G9" i="1"/>
  <c r="G7" i="1"/>
  <c r="G5" i="1"/>
  <c r="G3" i="1"/>
  <c r="F24" i="1"/>
  <c r="F23" i="1"/>
  <c r="F16" i="1"/>
  <c r="F5" i="1"/>
  <c r="E27" i="1"/>
  <c r="E25" i="1"/>
  <c r="E24" i="1"/>
  <c r="E23" i="1"/>
  <c r="E21" i="1"/>
  <c r="E19" i="1"/>
  <c r="E17" i="1"/>
  <c r="E16" i="1"/>
  <c r="E15" i="1"/>
  <c r="E13" i="1"/>
  <c r="E11" i="1"/>
  <c r="E9" i="1"/>
  <c r="E7" i="1"/>
  <c r="E5" i="1"/>
  <c r="E3" i="1"/>
  <c r="D24" i="1"/>
  <c r="D23" i="1"/>
  <c r="D16" i="1"/>
  <c r="D5" i="1"/>
  <c r="C27" i="1"/>
  <c r="C25" i="1"/>
  <c r="C24" i="1"/>
  <c r="C23" i="1"/>
  <c r="C21" i="1"/>
  <c r="C19" i="1"/>
  <c r="C17" i="1"/>
  <c r="C16" i="1"/>
  <c r="C15" i="1"/>
  <c r="C13" i="1"/>
  <c r="C11" i="1"/>
  <c r="C9" i="1"/>
  <c r="C7" i="1"/>
  <c r="C5" i="1"/>
  <c r="O26" i="1"/>
  <c r="H26" i="1" s="1"/>
  <c r="N26" i="1"/>
  <c r="G26" i="1" s="1"/>
  <c r="M26" i="1"/>
  <c r="F26" i="1" s="1"/>
  <c r="L26" i="1"/>
  <c r="E26" i="1" s="1"/>
  <c r="K26" i="1"/>
  <c r="D26" i="1" s="1"/>
  <c r="J26" i="1"/>
  <c r="C26" i="1" s="1"/>
  <c r="O27" i="1"/>
  <c r="H27" i="1" s="1"/>
  <c r="N27" i="1"/>
  <c r="M27" i="1"/>
  <c r="F27" i="1" s="1"/>
  <c r="L27" i="1"/>
  <c r="K27" i="1"/>
  <c r="D27" i="1" s="1"/>
  <c r="I27" i="1" s="1"/>
  <c r="J27" i="1"/>
  <c r="O25" i="1"/>
  <c r="H25" i="1" s="1"/>
  <c r="N25" i="1"/>
  <c r="M25" i="1"/>
  <c r="F25" i="1" s="1"/>
  <c r="L25" i="1"/>
  <c r="K25" i="1"/>
  <c r="D25" i="1" s="1"/>
  <c r="J25" i="1"/>
  <c r="O22" i="1"/>
  <c r="H22" i="1" s="1"/>
  <c r="N22" i="1"/>
  <c r="G22" i="1" s="1"/>
  <c r="M22" i="1"/>
  <c r="F22" i="1" s="1"/>
  <c r="L22" i="1"/>
  <c r="E22" i="1" s="1"/>
  <c r="K22" i="1"/>
  <c r="D22" i="1" s="1"/>
  <c r="J22" i="1"/>
  <c r="C22" i="1" s="1"/>
  <c r="O21" i="1"/>
  <c r="H21" i="1" s="1"/>
  <c r="N21" i="1"/>
  <c r="M21" i="1"/>
  <c r="F21" i="1" s="1"/>
  <c r="L21" i="1"/>
  <c r="K21" i="1"/>
  <c r="D21" i="1" s="1"/>
  <c r="J21" i="1"/>
  <c r="O20" i="1"/>
  <c r="H20" i="1" s="1"/>
  <c r="N20" i="1"/>
  <c r="G20" i="1" s="1"/>
  <c r="M20" i="1"/>
  <c r="F20" i="1" s="1"/>
  <c r="L20" i="1"/>
  <c r="E20" i="1" s="1"/>
  <c r="K20" i="1"/>
  <c r="D20" i="1" s="1"/>
  <c r="J20" i="1"/>
  <c r="C20" i="1" s="1"/>
  <c r="O19" i="1"/>
  <c r="H19" i="1" s="1"/>
  <c r="N19" i="1"/>
  <c r="M19" i="1"/>
  <c r="F19" i="1" s="1"/>
  <c r="L19" i="1"/>
  <c r="K19" i="1"/>
  <c r="D19" i="1" s="1"/>
  <c r="J19" i="1"/>
  <c r="O18" i="1"/>
  <c r="H18" i="1" s="1"/>
  <c r="N18" i="1"/>
  <c r="G18" i="1" s="1"/>
  <c r="M18" i="1"/>
  <c r="F18" i="1" s="1"/>
  <c r="L18" i="1"/>
  <c r="E18" i="1" s="1"/>
  <c r="K18" i="1"/>
  <c r="D18" i="1" s="1"/>
  <c r="J18" i="1"/>
  <c r="C18" i="1" s="1"/>
  <c r="O17" i="1"/>
  <c r="H17" i="1" s="1"/>
  <c r="N17" i="1"/>
  <c r="M17" i="1"/>
  <c r="F17" i="1" s="1"/>
  <c r="L17" i="1"/>
  <c r="K17" i="1"/>
  <c r="D17" i="1" s="1"/>
  <c r="J17" i="1"/>
  <c r="O15" i="1"/>
  <c r="H15" i="1" s="1"/>
  <c r="N15" i="1"/>
  <c r="M15" i="1"/>
  <c r="F15" i="1" s="1"/>
  <c r="L15" i="1"/>
  <c r="K15" i="1"/>
  <c r="D15" i="1" s="1"/>
  <c r="J15" i="1"/>
  <c r="O14" i="1"/>
  <c r="H14" i="1" s="1"/>
  <c r="N14" i="1"/>
  <c r="G14" i="1" s="1"/>
  <c r="M14" i="1"/>
  <c r="F14" i="1" s="1"/>
  <c r="L14" i="1"/>
  <c r="E14" i="1" s="1"/>
  <c r="K14" i="1"/>
  <c r="D14" i="1" s="1"/>
  <c r="J14" i="1"/>
  <c r="C14" i="1" s="1"/>
  <c r="O13" i="1"/>
  <c r="H13" i="1" s="1"/>
  <c r="N13" i="1"/>
  <c r="M13" i="1"/>
  <c r="F13" i="1" s="1"/>
  <c r="L13" i="1"/>
  <c r="K13" i="1"/>
  <c r="D13" i="1" s="1"/>
  <c r="J13" i="1"/>
  <c r="O12" i="1"/>
  <c r="H12" i="1" s="1"/>
  <c r="N12" i="1"/>
  <c r="G12" i="1" s="1"/>
  <c r="M12" i="1"/>
  <c r="F12" i="1" s="1"/>
  <c r="L12" i="1"/>
  <c r="E12" i="1" s="1"/>
  <c r="K12" i="1"/>
  <c r="D12" i="1" s="1"/>
  <c r="J12" i="1"/>
  <c r="C12" i="1" s="1"/>
  <c r="O11" i="1"/>
  <c r="H11" i="1" s="1"/>
  <c r="N11" i="1"/>
  <c r="M11" i="1"/>
  <c r="F11" i="1" s="1"/>
  <c r="L11" i="1"/>
  <c r="K11" i="1"/>
  <c r="D11" i="1" s="1"/>
  <c r="J11" i="1"/>
  <c r="O10" i="1"/>
  <c r="H10" i="1" s="1"/>
  <c r="N10" i="1"/>
  <c r="G10" i="1" s="1"/>
  <c r="M10" i="1"/>
  <c r="F10" i="1" s="1"/>
  <c r="L10" i="1"/>
  <c r="E10" i="1" s="1"/>
  <c r="K10" i="1"/>
  <c r="D10" i="1" s="1"/>
  <c r="J10" i="1"/>
  <c r="C10" i="1" s="1"/>
  <c r="O9" i="1"/>
  <c r="H9" i="1" s="1"/>
  <c r="N9" i="1"/>
  <c r="M9" i="1"/>
  <c r="F9" i="1" s="1"/>
  <c r="L9" i="1"/>
  <c r="K9" i="1"/>
  <c r="D9" i="1" s="1"/>
  <c r="J9" i="1"/>
  <c r="O8" i="1"/>
  <c r="H8" i="1" s="1"/>
  <c r="N8" i="1"/>
  <c r="G8" i="1" s="1"/>
  <c r="M8" i="1"/>
  <c r="F8" i="1" s="1"/>
  <c r="L8" i="1"/>
  <c r="E8" i="1" s="1"/>
  <c r="K8" i="1"/>
  <c r="D8" i="1" s="1"/>
  <c r="J8" i="1"/>
  <c r="C8" i="1" s="1"/>
  <c r="O7" i="1"/>
  <c r="H7" i="1" s="1"/>
  <c r="N7" i="1"/>
  <c r="M7" i="1"/>
  <c r="F7" i="1" s="1"/>
  <c r="L7" i="1"/>
  <c r="K7" i="1"/>
  <c r="D7" i="1" s="1"/>
  <c r="J7" i="1"/>
  <c r="O6" i="1"/>
  <c r="H6" i="1" s="1"/>
  <c r="N6" i="1"/>
  <c r="G6" i="1" s="1"/>
  <c r="M6" i="1"/>
  <c r="F6" i="1" s="1"/>
  <c r="L6" i="1"/>
  <c r="E6" i="1" s="1"/>
  <c r="K6" i="1"/>
  <c r="D6" i="1" s="1"/>
  <c r="J6" i="1"/>
  <c r="C6" i="1" s="1"/>
  <c r="O4" i="1"/>
  <c r="H4" i="1" s="1"/>
  <c r="N4" i="1"/>
  <c r="G4" i="1" s="1"/>
  <c r="M4" i="1"/>
  <c r="F4" i="1" s="1"/>
  <c r="L4" i="1"/>
  <c r="E4" i="1" s="1"/>
  <c r="K4" i="1"/>
  <c r="D4" i="1" s="1"/>
  <c r="J4" i="1"/>
  <c r="C4" i="1" s="1"/>
  <c r="O3" i="1"/>
  <c r="H3" i="1" s="1"/>
  <c r="N3" i="1"/>
  <c r="M3" i="1"/>
  <c r="F3" i="1" s="1"/>
  <c r="L3" i="1"/>
  <c r="K3" i="1"/>
  <c r="D3" i="1" s="1"/>
  <c r="J3" i="1"/>
  <c r="C3" i="1" s="1"/>
  <c r="I22" i="1" l="1"/>
  <c r="I21" i="1"/>
  <c r="I10" i="1"/>
  <c r="I18" i="1"/>
  <c r="I26" i="1"/>
  <c r="I25" i="1"/>
  <c r="I20" i="1"/>
  <c r="P15" i="1"/>
  <c r="I12" i="1"/>
  <c r="P11" i="1"/>
  <c r="I9" i="1"/>
  <c r="P8" i="1"/>
  <c r="P7" i="1"/>
  <c r="P6" i="1"/>
  <c r="P4" i="1"/>
  <c r="L29" i="1"/>
  <c r="P9" i="1"/>
  <c r="I19" i="1"/>
  <c r="P14" i="1"/>
  <c r="O29" i="1"/>
  <c r="K29" i="1"/>
  <c r="P13" i="1"/>
  <c r="N29" i="1"/>
  <c r="I15" i="1"/>
  <c r="I14" i="1"/>
  <c r="I13" i="1"/>
  <c r="P12" i="1"/>
  <c r="I11" i="1"/>
  <c r="I8" i="1"/>
  <c r="I7" i="1"/>
  <c r="I6" i="1"/>
  <c r="I4" i="1"/>
  <c r="M29" i="1"/>
  <c r="P3" i="1"/>
  <c r="J29" i="1"/>
  <c r="I17" i="1"/>
  <c r="P27" i="1"/>
  <c r="P26" i="1"/>
  <c r="P25" i="1"/>
  <c r="P22" i="1"/>
  <c r="P21" i="1"/>
  <c r="P20" i="1"/>
  <c r="P19" i="1"/>
  <c r="P18" i="1"/>
  <c r="P17" i="1"/>
  <c r="P10" i="1"/>
  <c r="I3" i="1" l="1"/>
  <c r="P29" i="1"/>
  <c r="I29" i="1"/>
</calcChain>
</file>

<file path=xl/sharedStrings.xml><?xml version="1.0" encoding="utf-8"?>
<sst xmlns="http://schemas.openxmlformats.org/spreadsheetml/2006/main" count="70" uniqueCount="66">
  <si>
    <t>Nom</t>
  </si>
  <si>
    <t>Prénom</t>
  </si>
  <si>
    <t>AZOUGAGH</t>
  </si>
  <si>
    <t>Yassin</t>
  </si>
  <si>
    <t>BENAQQA</t>
  </si>
  <si>
    <t>Yanis</t>
  </si>
  <si>
    <t>BIZE</t>
  </si>
  <si>
    <t>Lucas</t>
  </si>
  <si>
    <t>BOUKHARSSA</t>
  </si>
  <si>
    <t>Wallid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</si>
  <si>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</si>
  <si>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</si>
  <si>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</si>
  <si>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</si>
  <si>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</si>
  <si>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</si>
  <si>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</si>
  <si>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</si>
  <si>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</si>
  <si>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</si>
  <si>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</si>
  <si>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</si>
  <si>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</si>
  <si>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</si>
  <si>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</si>
  <si>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</si>
  <si>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</si>
  <si>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</si>
  <si>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</si>
  <si>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</si>
  <si>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</si>
  <si>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ISAAC</t>
  </si>
  <si>
    <t>Yannick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</si>
  <si>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</si>
  <si>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</si>
  <si>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</si>
  <si>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</si>
  <si>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</si>
  <si>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</si>
  <si>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</si>
  <si>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</si>
  <si>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</si>
  <si>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</si>
  <si>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</si>
  <si>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</si>
  <si>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</si>
  <si>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</si>
  <si>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</si>
  <si>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</si>
  <si>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</si>
  <si>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</si>
  <si>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</si>
  <si>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TOTAL</t>
  </si>
  <si>
    <t>1a</t>
  </si>
  <si>
    <t>1b</t>
  </si>
  <si>
    <t>2a</t>
  </si>
  <si>
    <t>2b</t>
  </si>
  <si>
    <t>3a</t>
  </si>
  <si>
    <t>3b</t>
  </si>
  <si>
    <t>3c</t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</si>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</sst>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CCCCCC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164" fontId="3" fillId="0" borderId="0" applyBorder="0" applyProtection="0"/>
    <xf numFmtId="0" fontId="2" fillId="2" borderId="0" applyBorder="0" applyProtection="0"/>
    <xf numFmtId="0" fontId="1" fillId="0" borderId="0"/>
  </cellStyleXfs>
  <cellXfs count="7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3" fillId="5" borderId="0" xfId="1" applyFill="1"/>
    <xf numFmtId="164" fontId="3" fillId="5" borderId="1" xfId="1" applyFill="1" applyBorder="1"/>
  </cellXfs>
  <cellStyles count="4">
    <cellStyle name="Milliers" xfId="1" builtinId="3"/>
    <cellStyle name="Normal" xfId="0" builtinId="0"/>
    <cellStyle name="Normal 2" xfId="3" xr:uid="{D6CABCA0-A0EC-47F0-8E35-E4A391B1E882}"/>
    <cellStyle name="Texte explicatif" xfId="2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zoomScaleNormal="100" workbookViewId="0">
      <selection sqref="A1:B27"/>
    </sheetView>
  </sheetViews>
  <sheetFormatPr baseColWidth="10" defaultColWidth="9.7109375" defaultRowHeight="13.5" customHeight="1" x14ac:dyDescent="0.25"/>
  <cols>
    <col min="3" max="8" width="9.7109375" style="5"/>
    <col min="9" max="9" width="9.7109375" style="5" customWidth="1"/>
    <col min="10" max="16" width="9.7109375" hidden="1" customWidth="1"/>
    <col min="18" max="19" width="9.7109375" style="3"/>
    <col min="20" max="20" width="9.7109375" style="4"/>
    <col min="21" max="24" width="9.7109375" style="3"/>
    <col min="25" max="25" width="9.7109375" style="4"/>
    <col min="26" max="27" width="9.7109375" style="3"/>
  </cols>
  <sheetData>
    <row r="1" spans="1:27" ht="13.5" customHeight="1" x14ac:dyDescent="0.25">
      <c r="A1" t="s">
        <v>0</v>
      </c>
      <c r="B1" t="s">
        <v>1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52</v>
      </c>
      <c r="J1" s="2"/>
      <c r="K1" s="2"/>
      <c r="L1" s="2"/>
      <c r="M1" s="2"/>
      <c r="N1" s="2"/>
      <c r="O1" s="2"/>
      <c r="P1" s="2"/>
      <c r="R1" s="3" t="s">
        <v>53</v>
      </c>
      <c r="S1" s="3" t="s">
        <v>54</v>
      </c>
      <c r="T1" s="4">
        <v>2</v>
      </c>
      <c r="U1" s="3" t="s">
        <v>53</v>
      </c>
      <c r="V1" s="3" t="s">
        <v>54</v>
      </c>
      <c r="W1" s="3" t="s">
        <v>55</v>
      </c>
      <c r="X1" s="3" t="s">
        <v>56</v>
      </c>
      <c r="Y1" s="4" t="s">
        <v>57</v>
      </c>
      <c r="Z1" s="3" t="s">
        <v>58</v>
      </c>
      <c r="AA1" s="3" t="s">
        <v>59</v>
      </c>
    </row>
    <row r="2" spans="1:27" ht="13.5" customHeight="1" x14ac:dyDescent="0.25">
      <c r="A2" s="1" t="s">
        <v>2</v>
      </c>
      <c r="B2" s="1" t="s">
        <v>3</v>
      </c>
      <c r="C2" s="6"/>
      <c r="D2" s="6"/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</row>
    <row r="3" spans="1:27" ht="13.5" customHeight="1" x14ac:dyDescent="0.25">
      <c r="A3" s="2" t="s">
        <v>4</v>
      </c>
      <c r="B3" s="2" t="s">
        <v>5</v>
      </c>
      <c r="C3" s="6">
        <f>CEILING(J3,0.5*SIGN(J3))</f>
        <v>0.5</v>
      </c>
      <c r="D3" s="6">
        <f t="shared" ref="D3:H3" si="0">CEILING(K3,0.5*SIGN(K3))</f>
        <v>0.5</v>
      </c>
      <c r="E3" s="6">
        <f t="shared" si="0"/>
        <v>0.5</v>
      </c>
      <c r="F3" s="6">
        <f t="shared" si="0"/>
        <v>1.5</v>
      </c>
      <c r="G3" s="6">
        <f t="shared" si="0"/>
        <v>1</v>
      </c>
      <c r="H3" s="6">
        <f t="shared" si="0"/>
        <v>0</v>
      </c>
      <c r="I3" s="6">
        <f t="shared" ref="I3:I9" si="1">SUM(C3:H3)</f>
        <v>4</v>
      </c>
      <c r="J3" s="2">
        <f t="shared" ref="J3:J15" si="2">AVERAGE(R3,U3)*1</f>
        <v>0.25</v>
      </c>
      <c r="K3" s="2">
        <f t="shared" ref="K3:K15" si="3">AVERAGE(T3,Y3,Z3)*2</f>
        <v>0.33333333333333331</v>
      </c>
      <c r="L3" s="2">
        <f t="shared" ref="L3:L15" si="4">AVERAGE(X3,Z3)</f>
        <v>0.5</v>
      </c>
      <c r="M3" s="2">
        <f t="shared" ref="M3:M15" si="5">AVERAGE(R3,V3,X3)*2</f>
        <v>1.3333333333333333</v>
      </c>
      <c r="N3" s="2">
        <f t="shared" ref="N3:N15" si="6">AVERAGE(S3,W3,X3,AA3)*2</f>
        <v>1</v>
      </c>
      <c r="O3" s="2">
        <f t="shared" ref="O3:O15" si="7">AVERAGE(T3,Y3)*2</f>
        <v>0</v>
      </c>
      <c r="P3" s="2">
        <f t="shared" ref="P3:P14" si="8">SUM(J3:O3)</f>
        <v>3.4166666666666665</v>
      </c>
      <c r="R3" s="3">
        <v>0.5</v>
      </c>
      <c r="S3" s="3">
        <v>0</v>
      </c>
      <c r="T3" s="4">
        <v>0</v>
      </c>
      <c r="U3" s="3">
        <v>0</v>
      </c>
      <c r="V3" s="3">
        <v>1</v>
      </c>
      <c r="W3" s="3">
        <v>1</v>
      </c>
      <c r="X3" s="3">
        <v>0.5</v>
      </c>
      <c r="Y3" s="4">
        <v>0</v>
      </c>
      <c r="Z3" s="3">
        <v>0.5</v>
      </c>
      <c r="AA3" s="3">
        <v>0.5</v>
      </c>
    </row>
    <row r="4" spans="1:27" ht="13.5" customHeight="1" x14ac:dyDescent="0.25">
      <c r="A4" s="1" t="s">
        <v>6</v>
      </c>
      <c r="B4" s="1" t="s">
        <v>7</v>
      </c>
      <c r="C4" s="6">
        <f t="shared" ref="C4:C27" si="9">CEILING(J4,0.5*SIGN(J4))</f>
        <v>0.5</v>
      </c>
      <c r="D4" s="6">
        <f t="shared" ref="D4:D27" si="10">CEILING(K4,0.5*SIGN(K4))</f>
        <v>2</v>
      </c>
      <c r="E4" s="6">
        <f t="shared" ref="E4:E27" si="11">CEILING(L4,0.5*SIGN(L4))</f>
        <v>1</v>
      </c>
      <c r="F4" s="6">
        <f t="shared" ref="F4:F27" si="12">CEILING(M4,0.5*SIGN(M4))</f>
        <v>1</v>
      </c>
      <c r="G4" s="6">
        <f t="shared" ref="G4:G27" si="13">CEILING(N4,0.5*SIGN(N4))</f>
        <v>2</v>
      </c>
      <c r="H4" s="6">
        <f t="shared" ref="H4:H27" si="14">CEILING(O4,0.5*SIGN(O4))</f>
        <v>2</v>
      </c>
      <c r="I4" s="6">
        <f t="shared" si="1"/>
        <v>8.5</v>
      </c>
      <c r="J4" s="1">
        <f t="shared" si="2"/>
        <v>0.25</v>
      </c>
      <c r="K4" s="1">
        <f t="shared" si="3"/>
        <v>1.6666666666666667</v>
      </c>
      <c r="L4" s="1">
        <f t="shared" si="4"/>
        <v>0.75</v>
      </c>
      <c r="M4" s="1">
        <f t="shared" si="5"/>
        <v>1</v>
      </c>
      <c r="N4" s="1">
        <f t="shared" si="6"/>
        <v>1.75</v>
      </c>
      <c r="O4" s="1">
        <f t="shared" si="7"/>
        <v>2</v>
      </c>
      <c r="P4" s="1">
        <f>SUM(J4:O4)</f>
        <v>7.416666666666667</v>
      </c>
      <c r="R4" s="3">
        <v>0.5</v>
      </c>
      <c r="S4" s="3">
        <v>1</v>
      </c>
      <c r="T4" s="4">
        <v>1</v>
      </c>
      <c r="U4" s="3">
        <v>0</v>
      </c>
      <c r="V4" s="3">
        <v>0</v>
      </c>
      <c r="W4" s="3">
        <v>1</v>
      </c>
      <c r="X4" s="3">
        <v>1</v>
      </c>
      <c r="Y4" s="4">
        <v>1</v>
      </c>
      <c r="Z4" s="3">
        <v>0.5</v>
      </c>
      <c r="AA4" s="3">
        <v>0.5</v>
      </c>
    </row>
    <row r="5" spans="1:27" ht="13.5" customHeight="1" x14ac:dyDescent="0.25">
      <c r="A5" s="2" t="s">
        <v>8</v>
      </c>
      <c r="B5" s="2" t="s">
        <v>9</v>
      </c>
      <c r="C5" s="6">
        <f t="shared" si="9"/>
        <v>0</v>
      </c>
      <c r="D5" s="6">
        <f t="shared" si="10"/>
        <v>0</v>
      </c>
      <c r="E5" s="6">
        <f t="shared" si="11"/>
        <v>0</v>
      </c>
      <c r="F5" s="6">
        <f t="shared" si="12"/>
        <v>0</v>
      </c>
      <c r="G5" s="6">
        <f t="shared" si="13"/>
        <v>0</v>
      </c>
      <c r="H5" s="6">
        <f t="shared" si="14"/>
        <v>0</v>
      </c>
      <c r="I5" s="6"/>
      <c r="J5" s="2"/>
      <c r="K5" s="2"/>
      <c r="L5" s="2"/>
      <c r="M5" s="2"/>
      <c r="N5" s="2"/>
      <c r="O5" s="2"/>
      <c r="P5" s="2"/>
    </row>
    <row r="6" spans="1:27" ht="13.5" customHeight="1" x14ac:dyDescent="0.25">
      <c r="A6" s="1" t="s">
        <v>10</v>
      </c>
      <c r="B6" s="1" t="s">
        <v>11</v>
      </c>
      <c r="C6" s="6">
        <f t="shared" si="9"/>
        <v>1</v>
      </c>
      <c r="D6" s="6">
        <f t="shared" si="10"/>
        <v>2</v>
      </c>
      <c r="E6" s="6">
        <f t="shared" si="11"/>
        <v>1</v>
      </c>
      <c r="F6" s="6">
        <f t="shared" si="12"/>
        <v>2</v>
      </c>
      <c r="G6" s="6">
        <f t="shared" si="13"/>
        <v>2</v>
      </c>
      <c r="H6" s="6">
        <f t="shared" si="14"/>
        <v>2</v>
      </c>
      <c r="I6" s="6">
        <f t="shared" si="1"/>
        <v>10</v>
      </c>
      <c r="J6" s="1">
        <f t="shared" si="2"/>
        <v>1</v>
      </c>
      <c r="K6" s="1">
        <f t="shared" si="3"/>
        <v>1.6666666666666667</v>
      </c>
      <c r="L6" s="1">
        <f t="shared" si="4"/>
        <v>0.75</v>
      </c>
      <c r="M6" s="1">
        <f t="shared" si="5"/>
        <v>2</v>
      </c>
      <c r="N6" s="1">
        <f t="shared" si="6"/>
        <v>1.75</v>
      </c>
      <c r="O6" s="1">
        <f t="shared" si="7"/>
        <v>2</v>
      </c>
      <c r="P6" s="1">
        <f t="shared" si="8"/>
        <v>9.1666666666666679</v>
      </c>
      <c r="R6" s="3">
        <v>1</v>
      </c>
      <c r="S6" s="3">
        <v>1</v>
      </c>
      <c r="T6" s="4">
        <v>1</v>
      </c>
      <c r="U6" s="3">
        <v>1</v>
      </c>
      <c r="V6" s="3">
        <v>1</v>
      </c>
      <c r="W6" s="3">
        <v>1</v>
      </c>
      <c r="X6" s="3">
        <v>1</v>
      </c>
      <c r="Y6" s="4">
        <v>1</v>
      </c>
      <c r="Z6" s="3">
        <v>0.5</v>
      </c>
      <c r="AA6" s="3">
        <v>0.5</v>
      </c>
    </row>
    <row r="7" spans="1:27" ht="13.5" customHeight="1" x14ac:dyDescent="0.25">
      <c r="A7" s="2" t="s">
        <v>12</v>
      </c>
      <c r="B7" s="2" t="s">
        <v>13</v>
      </c>
      <c r="C7" s="6">
        <f t="shared" si="9"/>
        <v>0</v>
      </c>
      <c r="D7" s="6">
        <f t="shared" si="10"/>
        <v>2</v>
      </c>
      <c r="E7" s="6">
        <f t="shared" si="11"/>
        <v>1</v>
      </c>
      <c r="F7" s="6">
        <f t="shared" si="12"/>
        <v>1</v>
      </c>
      <c r="G7" s="6">
        <f t="shared" si="13"/>
        <v>1.5</v>
      </c>
      <c r="H7" s="6">
        <f t="shared" si="14"/>
        <v>2</v>
      </c>
      <c r="I7" s="6">
        <f t="shared" si="1"/>
        <v>7.5</v>
      </c>
      <c r="J7" s="2">
        <f t="shared" si="2"/>
        <v>0</v>
      </c>
      <c r="K7" s="2">
        <f t="shared" si="3"/>
        <v>1.6666666666666667</v>
      </c>
      <c r="L7" s="2">
        <f t="shared" si="4"/>
        <v>0.75</v>
      </c>
      <c r="M7" s="2">
        <f t="shared" si="5"/>
        <v>1</v>
      </c>
      <c r="N7" s="2">
        <f t="shared" si="6"/>
        <v>1.5</v>
      </c>
      <c r="O7" s="2">
        <f t="shared" si="7"/>
        <v>2</v>
      </c>
      <c r="P7" s="2">
        <f t="shared" si="8"/>
        <v>6.916666666666667</v>
      </c>
      <c r="R7" s="3">
        <v>0</v>
      </c>
      <c r="S7" s="3">
        <v>1</v>
      </c>
      <c r="T7" s="4">
        <v>1</v>
      </c>
      <c r="U7" s="3">
        <v>0</v>
      </c>
      <c r="V7" s="3">
        <v>0.5</v>
      </c>
      <c r="W7" s="3">
        <v>0</v>
      </c>
      <c r="X7" s="3">
        <v>1</v>
      </c>
      <c r="Y7" s="4">
        <v>1</v>
      </c>
      <c r="Z7" s="3">
        <v>0.5</v>
      </c>
      <c r="AA7" s="3">
        <v>1</v>
      </c>
    </row>
    <row r="8" spans="1:27" ht="13.5" customHeight="1" x14ac:dyDescent="0.25">
      <c r="A8" s="1" t="s">
        <v>14</v>
      </c>
      <c r="B8" s="1" t="s">
        <v>15</v>
      </c>
      <c r="C8" s="6">
        <f t="shared" si="9"/>
        <v>0.5</v>
      </c>
      <c r="D8" s="6">
        <f t="shared" si="10"/>
        <v>1</v>
      </c>
      <c r="E8" s="6">
        <f t="shared" si="11"/>
        <v>0.5</v>
      </c>
      <c r="F8" s="6">
        <f t="shared" si="12"/>
        <v>1</v>
      </c>
      <c r="G8" s="6">
        <f t="shared" si="13"/>
        <v>1.5</v>
      </c>
      <c r="H8" s="6">
        <f t="shared" si="14"/>
        <v>1</v>
      </c>
      <c r="I8" s="6">
        <f t="shared" si="1"/>
        <v>5.5</v>
      </c>
      <c r="J8" s="1">
        <f t="shared" si="2"/>
        <v>0.5</v>
      </c>
      <c r="K8" s="1">
        <f t="shared" si="3"/>
        <v>0.66666666666666663</v>
      </c>
      <c r="L8" s="1">
        <f t="shared" si="4"/>
        <v>0.25</v>
      </c>
      <c r="M8" s="1">
        <f t="shared" si="5"/>
        <v>0.66666666666666663</v>
      </c>
      <c r="N8" s="1">
        <f t="shared" si="6"/>
        <v>1.5</v>
      </c>
      <c r="O8" s="1">
        <f t="shared" si="7"/>
        <v>1</v>
      </c>
      <c r="P8" s="1">
        <f t="shared" si="8"/>
        <v>4.583333333333333</v>
      </c>
      <c r="R8" s="3">
        <v>0</v>
      </c>
      <c r="S8" s="3">
        <v>1</v>
      </c>
      <c r="T8" s="4">
        <v>0.5</v>
      </c>
      <c r="U8" s="3">
        <v>1</v>
      </c>
      <c r="V8" s="3">
        <v>0.5</v>
      </c>
      <c r="W8" s="3">
        <v>1</v>
      </c>
      <c r="X8" s="3">
        <v>0.5</v>
      </c>
      <c r="Y8" s="4">
        <v>0.5</v>
      </c>
      <c r="Z8" s="3">
        <v>0</v>
      </c>
      <c r="AA8" s="3">
        <v>0.5</v>
      </c>
    </row>
    <row r="9" spans="1:27" ht="13.5" customHeight="1" x14ac:dyDescent="0.25">
      <c r="A9" s="2" t="s">
        <v>16</v>
      </c>
      <c r="B9" s="2" t="s">
        <v>17</v>
      </c>
      <c r="C9" s="6">
        <f t="shared" si="9"/>
        <v>0.5</v>
      </c>
      <c r="D9" s="6">
        <f t="shared" si="10"/>
        <v>2</v>
      </c>
      <c r="E9" s="6">
        <f t="shared" si="11"/>
        <v>1</v>
      </c>
      <c r="F9" s="6">
        <f t="shared" si="12"/>
        <v>1.5</v>
      </c>
      <c r="G9" s="6">
        <f t="shared" si="13"/>
        <v>2</v>
      </c>
      <c r="H9" s="6">
        <f t="shared" si="14"/>
        <v>2</v>
      </c>
      <c r="I9" s="6">
        <f t="shared" si="1"/>
        <v>9</v>
      </c>
      <c r="J9" s="2">
        <f t="shared" si="2"/>
        <v>0.25</v>
      </c>
      <c r="K9" s="2">
        <f t="shared" si="3"/>
        <v>2</v>
      </c>
      <c r="L9" s="2">
        <f t="shared" si="4"/>
        <v>0.875</v>
      </c>
      <c r="M9" s="2">
        <f t="shared" si="5"/>
        <v>1.1666666666666667</v>
      </c>
      <c r="N9" s="2">
        <f t="shared" si="6"/>
        <v>1.625</v>
      </c>
      <c r="O9" s="2">
        <f t="shared" si="7"/>
        <v>2</v>
      </c>
      <c r="P9" s="2">
        <f t="shared" si="8"/>
        <v>7.916666666666667</v>
      </c>
      <c r="R9" s="3">
        <v>0.5</v>
      </c>
      <c r="S9" s="3">
        <v>1</v>
      </c>
      <c r="T9" s="4">
        <v>1</v>
      </c>
      <c r="U9" s="3">
        <v>0</v>
      </c>
      <c r="V9" s="3">
        <v>0.5</v>
      </c>
      <c r="W9" s="3">
        <v>1</v>
      </c>
      <c r="X9" s="3">
        <v>0.75</v>
      </c>
      <c r="Y9" s="4">
        <v>1</v>
      </c>
      <c r="Z9" s="3">
        <v>1</v>
      </c>
      <c r="AA9" s="3">
        <v>0.5</v>
      </c>
    </row>
    <row r="10" spans="1:27" ht="13.5" customHeight="1" x14ac:dyDescent="0.25">
      <c r="A10" s="1" t="s">
        <v>18</v>
      </c>
      <c r="B10" s="1" t="s">
        <v>19</v>
      </c>
      <c r="C10" s="6">
        <f t="shared" si="9"/>
        <v>1</v>
      </c>
      <c r="D10" s="6">
        <f t="shared" si="10"/>
        <v>1.5</v>
      </c>
      <c r="E10" s="6">
        <f t="shared" si="11"/>
        <v>1</v>
      </c>
      <c r="F10" s="6">
        <f t="shared" si="12"/>
        <v>2</v>
      </c>
      <c r="G10" s="6">
        <f t="shared" si="13"/>
        <v>1.5</v>
      </c>
      <c r="H10" s="6">
        <f t="shared" si="14"/>
        <v>1.5</v>
      </c>
      <c r="I10" s="6">
        <f>SUM(C10:H10)</f>
        <v>8.5</v>
      </c>
      <c r="J10" s="1">
        <f t="shared" si="2"/>
        <v>1</v>
      </c>
      <c r="K10" s="1">
        <f t="shared" si="3"/>
        <v>1.3333333333333333</v>
      </c>
      <c r="L10" s="1">
        <f t="shared" si="4"/>
        <v>0.75</v>
      </c>
      <c r="M10" s="1">
        <f t="shared" si="5"/>
        <v>2</v>
      </c>
      <c r="N10" s="1">
        <f t="shared" si="6"/>
        <v>1.125</v>
      </c>
      <c r="O10" s="1">
        <f t="shared" si="7"/>
        <v>1.5</v>
      </c>
      <c r="P10" s="1">
        <f t="shared" si="8"/>
        <v>7.708333333333333</v>
      </c>
      <c r="R10" s="3">
        <v>1</v>
      </c>
      <c r="S10" s="3">
        <v>0</v>
      </c>
      <c r="T10" s="4">
        <v>0.5</v>
      </c>
      <c r="U10" s="3">
        <v>1</v>
      </c>
      <c r="V10" s="3">
        <v>1</v>
      </c>
      <c r="W10" s="3">
        <v>0.25</v>
      </c>
      <c r="X10" s="3">
        <v>1</v>
      </c>
      <c r="Y10" s="4">
        <v>1</v>
      </c>
      <c r="Z10" s="3">
        <v>0.5</v>
      </c>
      <c r="AA10" s="3">
        <v>1</v>
      </c>
    </row>
    <row r="11" spans="1:27" ht="13.5" customHeight="1" x14ac:dyDescent="0.25">
      <c r="A11" s="2" t="s">
        <v>20</v>
      </c>
      <c r="B11" s="2" t="s">
        <v>21</v>
      </c>
      <c r="C11" s="6">
        <f t="shared" si="9"/>
        <v>0.5</v>
      </c>
      <c r="D11" s="6">
        <f t="shared" si="10"/>
        <v>1.5</v>
      </c>
      <c r="E11" s="6">
        <f t="shared" si="11"/>
        <v>1</v>
      </c>
      <c r="F11" s="6">
        <f t="shared" si="12"/>
        <v>0.5</v>
      </c>
      <c r="G11" s="6">
        <f t="shared" si="13"/>
        <v>1</v>
      </c>
      <c r="H11" s="6">
        <f t="shared" si="14"/>
        <v>1</v>
      </c>
      <c r="I11" s="6">
        <f t="shared" ref="I11:I27" si="15">SUM(C11:H11)</f>
        <v>5.5</v>
      </c>
      <c r="J11" s="2">
        <f t="shared" si="2"/>
        <v>0.5</v>
      </c>
      <c r="K11" s="2">
        <f t="shared" si="3"/>
        <v>1.3333333333333333</v>
      </c>
      <c r="L11" s="2">
        <f t="shared" si="4"/>
        <v>0.75</v>
      </c>
      <c r="M11" s="2">
        <f t="shared" si="5"/>
        <v>0.33333333333333331</v>
      </c>
      <c r="N11" s="2">
        <f t="shared" si="6"/>
        <v>0.75</v>
      </c>
      <c r="O11" s="2">
        <f t="shared" si="7"/>
        <v>1</v>
      </c>
      <c r="P11" s="2">
        <f t="shared" si="8"/>
        <v>4.6666666666666661</v>
      </c>
      <c r="R11" s="3">
        <v>0</v>
      </c>
      <c r="S11" s="3">
        <v>0.5</v>
      </c>
      <c r="T11" s="4">
        <v>0.5</v>
      </c>
      <c r="U11" s="3">
        <v>1</v>
      </c>
      <c r="V11" s="3">
        <v>0</v>
      </c>
      <c r="W11" s="3">
        <v>0</v>
      </c>
      <c r="X11" s="3">
        <v>0.5</v>
      </c>
      <c r="Y11" s="4">
        <v>0.5</v>
      </c>
      <c r="Z11" s="3">
        <v>1</v>
      </c>
      <c r="AA11" s="3">
        <v>0.5</v>
      </c>
    </row>
    <row r="12" spans="1:27" ht="13.5" customHeight="1" x14ac:dyDescent="0.25">
      <c r="A12" s="1" t="s">
        <v>22</v>
      </c>
      <c r="B12" s="1" t="s">
        <v>23</v>
      </c>
      <c r="C12" s="6">
        <f t="shared" si="9"/>
        <v>1</v>
      </c>
      <c r="D12" s="6">
        <f t="shared" si="10"/>
        <v>2</v>
      </c>
      <c r="E12" s="6">
        <f t="shared" si="11"/>
        <v>1</v>
      </c>
      <c r="F12" s="6">
        <f t="shared" si="12"/>
        <v>2</v>
      </c>
      <c r="G12" s="6">
        <f t="shared" si="13"/>
        <v>2</v>
      </c>
      <c r="H12" s="6">
        <f t="shared" si="14"/>
        <v>2</v>
      </c>
      <c r="I12" s="6">
        <f t="shared" si="15"/>
        <v>10</v>
      </c>
      <c r="J12" s="1">
        <f t="shared" si="2"/>
        <v>0.75</v>
      </c>
      <c r="K12" s="1">
        <f t="shared" si="3"/>
        <v>1.6666666666666667</v>
      </c>
      <c r="L12" s="1">
        <f t="shared" si="4"/>
        <v>0.75</v>
      </c>
      <c r="M12" s="1">
        <f t="shared" si="5"/>
        <v>1.6666666666666667</v>
      </c>
      <c r="N12" s="1">
        <f t="shared" si="6"/>
        <v>1.75</v>
      </c>
      <c r="O12" s="1">
        <f t="shared" si="7"/>
        <v>2</v>
      </c>
      <c r="P12" s="1">
        <f t="shared" si="8"/>
        <v>8.5833333333333339</v>
      </c>
      <c r="R12" s="3">
        <v>0.5</v>
      </c>
      <c r="S12" s="3">
        <v>1</v>
      </c>
      <c r="T12" s="4">
        <v>1</v>
      </c>
      <c r="U12" s="3">
        <v>1</v>
      </c>
      <c r="V12" s="3">
        <v>1</v>
      </c>
      <c r="W12" s="3">
        <v>1</v>
      </c>
      <c r="X12" s="3">
        <v>1</v>
      </c>
      <c r="Y12" s="4">
        <v>1</v>
      </c>
      <c r="Z12" s="3">
        <v>0.5</v>
      </c>
      <c r="AA12" s="3">
        <v>0.5</v>
      </c>
    </row>
    <row r="13" spans="1:27" ht="13.5" customHeight="1" x14ac:dyDescent="0.25">
      <c r="A13" s="2" t="s">
        <v>24</v>
      </c>
      <c r="B13" s="2" t="s">
        <v>25</v>
      </c>
      <c r="C13" s="6">
        <f t="shared" si="9"/>
        <v>1</v>
      </c>
      <c r="D13" s="6">
        <f t="shared" si="10"/>
        <v>2</v>
      </c>
      <c r="E13" s="6">
        <f t="shared" si="11"/>
        <v>1</v>
      </c>
      <c r="F13" s="6">
        <f t="shared" si="12"/>
        <v>1.5</v>
      </c>
      <c r="G13" s="6">
        <f t="shared" si="13"/>
        <v>2</v>
      </c>
      <c r="H13" s="6">
        <f t="shared" si="14"/>
        <v>2</v>
      </c>
      <c r="I13" s="6">
        <f t="shared" si="15"/>
        <v>9.5</v>
      </c>
      <c r="J13" s="2">
        <f t="shared" si="2"/>
        <v>0.75</v>
      </c>
      <c r="K13" s="2">
        <f t="shared" si="3"/>
        <v>2</v>
      </c>
      <c r="L13" s="2">
        <f t="shared" si="4"/>
        <v>1</v>
      </c>
      <c r="M13" s="2">
        <f t="shared" si="5"/>
        <v>1.3333333333333333</v>
      </c>
      <c r="N13" s="2">
        <f t="shared" si="6"/>
        <v>1.75</v>
      </c>
      <c r="O13" s="2">
        <f t="shared" si="7"/>
        <v>2</v>
      </c>
      <c r="P13" s="2">
        <f t="shared" si="8"/>
        <v>8.8333333333333321</v>
      </c>
      <c r="R13" s="3">
        <v>0.5</v>
      </c>
      <c r="S13" s="3">
        <v>1</v>
      </c>
      <c r="T13" s="4">
        <v>1</v>
      </c>
      <c r="U13" s="3">
        <v>1</v>
      </c>
      <c r="V13" s="3">
        <v>0.5</v>
      </c>
      <c r="W13" s="3">
        <v>1</v>
      </c>
      <c r="X13" s="3">
        <v>1</v>
      </c>
      <c r="Y13" s="4">
        <v>1</v>
      </c>
      <c r="Z13" s="3">
        <v>1</v>
      </c>
      <c r="AA13" s="3">
        <v>0.5</v>
      </c>
    </row>
    <row r="14" spans="1:27" ht="13.5" customHeight="1" x14ac:dyDescent="0.25">
      <c r="A14" s="1" t="s">
        <v>26</v>
      </c>
      <c r="B14" s="1" t="s">
        <v>27</v>
      </c>
      <c r="C14" s="6">
        <f t="shared" si="9"/>
        <v>0.5</v>
      </c>
      <c r="D14" s="6">
        <f t="shared" si="10"/>
        <v>1</v>
      </c>
      <c r="E14" s="6">
        <f t="shared" si="11"/>
        <v>1</v>
      </c>
      <c r="F14" s="6">
        <f t="shared" si="12"/>
        <v>1.5</v>
      </c>
      <c r="G14" s="6">
        <f t="shared" si="13"/>
        <v>1.5</v>
      </c>
      <c r="H14" s="6">
        <f t="shared" si="14"/>
        <v>1</v>
      </c>
      <c r="I14" s="6">
        <f t="shared" si="15"/>
        <v>6.5</v>
      </c>
      <c r="J14" s="1">
        <f t="shared" si="2"/>
        <v>0.25</v>
      </c>
      <c r="K14" s="1">
        <f t="shared" si="3"/>
        <v>1</v>
      </c>
      <c r="L14" s="1">
        <f t="shared" si="4"/>
        <v>0.75</v>
      </c>
      <c r="M14" s="1">
        <f t="shared" si="5"/>
        <v>1.3333333333333333</v>
      </c>
      <c r="N14" s="1">
        <f t="shared" si="6"/>
        <v>1.25</v>
      </c>
      <c r="O14" s="1">
        <f t="shared" si="7"/>
        <v>1</v>
      </c>
      <c r="P14" s="1">
        <f t="shared" si="8"/>
        <v>5.583333333333333</v>
      </c>
      <c r="R14" s="3">
        <v>0.5</v>
      </c>
      <c r="S14" s="3">
        <v>0</v>
      </c>
      <c r="T14" s="4">
        <v>0.5</v>
      </c>
      <c r="U14" s="3">
        <v>0</v>
      </c>
      <c r="V14" s="3">
        <v>0.5</v>
      </c>
      <c r="W14" s="3">
        <v>1</v>
      </c>
      <c r="X14" s="3">
        <v>1</v>
      </c>
      <c r="Y14" s="4">
        <v>0.5</v>
      </c>
      <c r="Z14" s="3">
        <v>0.5</v>
      </c>
      <c r="AA14" s="3">
        <v>0.5</v>
      </c>
    </row>
    <row r="15" spans="1:27" ht="13.5" customHeight="1" x14ac:dyDescent="0.25">
      <c r="A15" s="2" t="s">
        <v>28</v>
      </c>
      <c r="B15" s="2" t="s">
        <v>29</v>
      </c>
      <c r="C15" s="6">
        <f t="shared" si="9"/>
        <v>1</v>
      </c>
      <c r="D15" s="6">
        <f t="shared" si="10"/>
        <v>2</v>
      </c>
      <c r="E15" s="6">
        <f t="shared" si="11"/>
        <v>1</v>
      </c>
      <c r="F15" s="6">
        <f t="shared" si="12"/>
        <v>2</v>
      </c>
      <c r="G15" s="6">
        <f t="shared" si="13"/>
        <v>2</v>
      </c>
      <c r="H15" s="6">
        <f t="shared" si="14"/>
        <v>2</v>
      </c>
      <c r="I15" s="6">
        <f t="shared" si="15"/>
        <v>10</v>
      </c>
      <c r="J15" s="2">
        <f t="shared" si="2"/>
        <v>1</v>
      </c>
      <c r="K15" s="2">
        <f t="shared" si="3"/>
        <v>1.6666666666666667</v>
      </c>
      <c r="L15" s="2">
        <f t="shared" si="4"/>
        <v>0.75</v>
      </c>
      <c r="M15" s="2">
        <f t="shared" si="5"/>
        <v>2</v>
      </c>
      <c r="N15" s="2">
        <f t="shared" si="6"/>
        <v>2</v>
      </c>
      <c r="O15" s="2">
        <f t="shared" si="7"/>
        <v>2</v>
      </c>
      <c r="P15" s="2">
        <f t="shared" ref="P15:P27" si="16">SUM(J15:O15)</f>
        <v>9.4166666666666679</v>
      </c>
      <c r="R15" s="3">
        <v>1</v>
      </c>
      <c r="S15" s="3">
        <v>1</v>
      </c>
      <c r="T15" s="4">
        <v>1</v>
      </c>
      <c r="U15" s="3">
        <v>1</v>
      </c>
      <c r="V15" s="3">
        <v>1</v>
      </c>
      <c r="W15" s="3">
        <v>1</v>
      </c>
      <c r="X15" s="3">
        <v>1</v>
      </c>
      <c r="Y15" s="4">
        <v>1</v>
      </c>
      <c r="Z15" s="3">
        <v>0.5</v>
      </c>
      <c r="AA15" s="3">
        <v>1</v>
      </c>
    </row>
    <row r="16" spans="1:27" ht="13.5" customHeight="1" x14ac:dyDescent="0.25">
      <c r="A16" s="1" t="s">
        <v>30</v>
      </c>
      <c r="B16" s="1" t="s">
        <v>7</v>
      </c>
      <c r="C16" s="6">
        <f t="shared" si="9"/>
        <v>0</v>
      </c>
      <c r="D16" s="6">
        <f t="shared" si="10"/>
        <v>0</v>
      </c>
      <c r="E16" s="6">
        <f t="shared" si="11"/>
        <v>0</v>
      </c>
      <c r="F16" s="6">
        <f t="shared" si="12"/>
        <v>0</v>
      </c>
      <c r="G16" s="6">
        <f t="shared" si="13"/>
        <v>0</v>
      </c>
      <c r="H16" s="6">
        <f t="shared" si="14"/>
        <v>0</v>
      </c>
      <c r="I16" s="6"/>
      <c r="J16" s="1"/>
      <c r="K16" s="1"/>
      <c r="L16" s="1"/>
      <c r="M16" s="1"/>
      <c r="N16" s="1"/>
      <c r="O16" s="1"/>
      <c r="P16" s="1"/>
    </row>
    <row r="17" spans="1:27" ht="13.5" customHeight="1" x14ac:dyDescent="0.25">
      <c r="A17" s="2" t="s">
        <v>31</v>
      </c>
      <c r="B17" s="2" t="s">
        <v>32</v>
      </c>
      <c r="C17" s="6">
        <f t="shared" si="9"/>
        <v>1</v>
      </c>
      <c r="D17" s="6">
        <f t="shared" si="10"/>
        <v>0</v>
      </c>
      <c r="E17" s="6">
        <f t="shared" si="11"/>
        <v>0</v>
      </c>
      <c r="F17" s="6">
        <f t="shared" si="12"/>
        <v>1</v>
      </c>
      <c r="G17" s="6">
        <f t="shared" si="13"/>
        <v>0</v>
      </c>
      <c r="H17" s="6">
        <f t="shared" si="14"/>
        <v>0</v>
      </c>
      <c r="I17" s="6">
        <f t="shared" si="15"/>
        <v>2</v>
      </c>
      <c r="J17" s="2">
        <f t="shared" ref="J17:J22" si="17">AVERAGE(R17,U17)*1</f>
        <v>0.75</v>
      </c>
      <c r="K17" s="2">
        <f t="shared" ref="K17:K22" si="18">AVERAGE(T17,Y17,Z17)*2</f>
        <v>0</v>
      </c>
      <c r="L17" s="2">
        <f t="shared" ref="L17:L22" si="19">AVERAGE(X17,Z17)</f>
        <v>0</v>
      </c>
      <c r="M17" s="2">
        <f t="shared" ref="M17:M22" si="20">AVERAGE(R17,V17,X17)*2</f>
        <v>0.66666666666666663</v>
      </c>
      <c r="N17" s="2">
        <f t="shared" ref="N17:N22" si="21">AVERAGE(S17,W17,X17,AA17)*2</f>
        <v>0</v>
      </c>
      <c r="O17" s="2">
        <f t="shared" ref="O17:O22" si="22">AVERAGE(T17,Y17)*2</f>
        <v>0</v>
      </c>
      <c r="P17" s="2">
        <f t="shared" si="16"/>
        <v>1.4166666666666665</v>
      </c>
      <c r="R17" s="3">
        <v>0.5</v>
      </c>
      <c r="S17" s="3">
        <v>0</v>
      </c>
      <c r="T17" s="4">
        <v>0</v>
      </c>
      <c r="U17" s="3">
        <v>1</v>
      </c>
      <c r="V17" s="3">
        <v>0.5</v>
      </c>
      <c r="W17" s="3">
        <v>0</v>
      </c>
      <c r="X17" s="3">
        <v>0</v>
      </c>
      <c r="Y17" s="4">
        <v>0</v>
      </c>
      <c r="Z17" s="3">
        <v>0</v>
      </c>
      <c r="AA17" s="3">
        <v>0</v>
      </c>
    </row>
    <row r="18" spans="1:27" ht="13.5" customHeight="1" x14ac:dyDescent="0.25">
      <c r="A18" s="1" t="s">
        <v>33</v>
      </c>
      <c r="B18" s="1" t="s">
        <v>25</v>
      </c>
      <c r="C18" s="6">
        <f t="shared" si="9"/>
        <v>1</v>
      </c>
      <c r="D18" s="6">
        <f t="shared" si="10"/>
        <v>2</v>
      </c>
      <c r="E18" s="6">
        <f t="shared" si="11"/>
        <v>1</v>
      </c>
      <c r="F18" s="6">
        <f t="shared" si="12"/>
        <v>1</v>
      </c>
      <c r="G18" s="6">
        <f t="shared" si="13"/>
        <v>1.5</v>
      </c>
      <c r="H18" s="6">
        <f t="shared" si="14"/>
        <v>2</v>
      </c>
      <c r="I18" s="6">
        <f t="shared" si="15"/>
        <v>8.5</v>
      </c>
      <c r="J18" s="1">
        <f t="shared" si="17"/>
        <v>0.75</v>
      </c>
      <c r="K18" s="1">
        <f t="shared" si="18"/>
        <v>1.6666666666666667</v>
      </c>
      <c r="L18" s="1">
        <f t="shared" si="19"/>
        <v>0.75</v>
      </c>
      <c r="M18" s="1">
        <f t="shared" si="20"/>
        <v>1</v>
      </c>
      <c r="N18" s="1">
        <f t="shared" si="21"/>
        <v>1.25</v>
      </c>
      <c r="O18" s="1">
        <f t="shared" si="22"/>
        <v>2</v>
      </c>
      <c r="P18" s="1">
        <f t="shared" si="16"/>
        <v>7.416666666666667</v>
      </c>
      <c r="R18" s="3">
        <v>0.5</v>
      </c>
      <c r="S18" s="3">
        <v>0</v>
      </c>
      <c r="T18" s="4">
        <v>1</v>
      </c>
      <c r="U18" s="3">
        <v>1</v>
      </c>
      <c r="V18" s="3">
        <v>0</v>
      </c>
      <c r="W18" s="3">
        <v>0.5</v>
      </c>
      <c r="X18" s="3">
        <v>1</v>
      </c>
      <c r="Y18" s="4">
        <v>1</v>
      </c>
      <c r="Z18" s="3">
        <v>0.5</v>
      </c>
      <c r="AA18" s="3">
        <v>1</v>
      </c>
    </row>
    <row r="19" spans="1:27" ht="13.5" customHeight="1" x14ac:dyDescent="0.25">
      <c r="A19" s="2" t="s">
        <v>34</v>
      </c>
      <c r="B19" s="2" t="s">
        <v>35</v>
      </c>
      <c r="C19" s="6">
        <f t="shared" si="9"/>
        <v>0.5</v>
      </c>
      <c r="D19" s="6">
        <f t="shared" si="10"/>
        <v>0.5</v>
      </c>
      <c r="E19" s="6">
        <f t="shared" si="11"/>
        <v>0.5</v>
      </c>
      <c r="F19" s="6">
        <f t="shared" si="12"/>
        <v>1</v>
      </c>
      <c r="G19" s="6">
        <f t="shared" si="13"/>
        <v>0.5</v>
      </c>
      <c r="H19" s="6">
        <f t="shared" si="14"/>
        <v>0.5</v>
      </c>
      <c r="I19" s="6">
        <f t="shared" si="15"/>
        <v>3.5</v>
      </c>
      <c r="J19" s="2">
        <f t="shared" si="17"/>
        <v>0.5</v>
      </c>
      <c r="K19" s="2">
        <f t="shared" si="18"/>
        <v>0.33333333333333331</v>
      </c>
      <c r="L19" s="2">
        <f t="shared" si="19"/>
        <v>0.5</v>
      </c>
      <c r="M19" s="2">
        <f t="shared" si="20"/>
        <v>0.66666666666666663</v>
      </c>
      <c r="N19" s="2">
        <f t="shared" si="21"/>
        <v>0.5</v>
      </c>
      <c r="O19" s="2">
        <f t="shared" si="22"/>
        <v>0.5</v>
      </c>
      <c r="P19" s="2">
        <f t="shared" si="16"/>
        <v>3</v>
      </c>
      <c r="R19" s="3">
        <v>0</v>
      </c>
      <c r="S19" s="3">
        <v>0</v>
      </c>
      <c r="T19" s="4">
        <v>0.5</v>
      </c>
      <c r="U19" s="3">
        <v>1</v>
      </c>
      <c r="V19" s="3">
        <v>0</v>
      </c>
      <c r="W19" s="3">
        <v>0</v>
      </c>
      <c r="X19" s="3">
        <v>1</v>
      </c>
      <c r="Y19" s="4">
        <v>0</v>
      </c>
      <c r="Z19" s="3">
        <v>0</v>
      </c>
      <c r="AA19" s="3">
        <v>0</v>
      </c>
    </row>
    <row r="20" spans="1:27" ht="13.5" customHeight="1" x14ac:dyDescent="0.25">
      <c r="A20" s="1" t="s">
        <v>36</v>
      </c>
      <c r="B20" s="1" t="s">
        <v>37</v>
      </c>
      <c r="C20" s="6">
        <f t="shared" si="9"/>
        <v>0</v>
      </c>
      <c r="D20" s="6">
        <f t="shared" si="10"/>
        <v>2</v>
      </c>
      <c r="E20" s="6">
        <f t="shared" si="11"/>
        <v>1</v>
      </c>
      <c r="F20" s="6">
        <f t="shared" si="12"/>
        <v>1</v>
      </c>
      <c r="G20" s="6">
        <f t="shared" si="13"/>
        <v>1</v>
      </c>
      <c r="H20" s="6">
        <f t="shared" si="14"/>
        <v>1.5</v>
      </c>
      <c r="I20" s="6">
        <f t="shared" si="15"/>
        <v>6.5</v>
      </c>
      <c r="J20" s="1">
        <f t="shared" si="17"/>
        <v>0</v>
      </c>
      <c r="K20" s="1">
        <f t="shared" si="18"/>
        <v>1.6666666666666667</v>
      </c>
      <c r="L20" s="1">
        <f t="shared" si="19"/>
        <v>1</v>
      </c>
      <c r="M20" s="1">
        <f t="shared" si="20"/>
        <v>0.66666666666666663</v>
      </c>
      <c r="N20" s="1">
        <f t="shared" si="21"/>
        <v>1</v>
      </c>
      <c r="O20" s="1">
        <f t="shared" si="22"/>
        <v>1.5</v>
      </c>
      <c r="P20" s="1">
        <f t="shared" si="16"/>
        <v>5.8333333333333339</v>
      </c>
      <c r="R20" s="3">
        <v>0</v>
      </c>
      <c r="S20" s="3">
        <v>0</v>
      </c>
      <c r="T20" s="4">
        <v>1</v>
      </c>
      <c r="U20" s="3">
        <v>0</v>
      </c>
      <c r="V20" s="3">
        <v>0</v>
      </c>
      <c r="W20" s="3">
        <v>0</v>
      </c>
      <c r="X20" s="3">
        <v>1</v>
      </c>
      <c r="Y20" s="4">
        <v>0.5</v>
      </c>
      <c r="Z20" s="3">
        <v>1</v>
      </c>
      <c r="AA20" s="3">
        <v>1</v>
      </c>
    </row>
    <row r="21" spans="1:27" ht="13.5" customHeight="1" x14ac:dyDescent="0.25">
      <c r="A21" s="2" t="s">
        <v>38</v>
      </c>
      <c r="B21" s="2" t="s">
        <v>39</v>
      </c>
      <c r="C21" s="6">
        <f t="shared" si="9"/>
        <v>1</v>
      </c>
      <c r="D21" s="6">
        <f t="shared" si="10"/>
        <v>1</v>
      </c>
      <c r="E21" s="6">
        <f t="shared" si="11"/>
        <v>0.5</v>
      </c>
      <c r="F21" s="6">
        <f t="shared" si="12"/>
        <v>1.5</v>
      </c>
      <c r="G21" s="6">
        <f t="shared" si="13"/>
        <v>1.5</v>
      </c>
      <c r="H21" s="6">
        <f t="shared" si="14"/>
        <v>1</v>
      </c>
      <c r="I21" s="6">
        <f t="shared" si="15"/>
        <v>6.5</v>
      </c>
      <c r="J21" s="2">
        <f t="shared" si="17"/>
        <v>0.75</v>
      </c>
      <c r="K21" s="2">
        <f t="shared" si="18"/>
        <v>0.66666666666666663</v>
      </c>
      <c r="L21" s="2">
        <f t="shared" si="19"/>
        <v>0.5</v>
      </c>
      <c r="M21" s="2">
        <f t="shared" si="20"/>
        <v>1.3333333333333333</v>
      </c>
      <c r="N21" s="2">
        <f t="shared" si="21"/>
        <v>1.25</v>
      </c>
      <c r="O21" s="2">
        <f t="shared" si="22"/>
        <v>1</v>
      </c>
      <c r="P21" s="2">
        <f t="shared" si="16"/>
        <v>5.5</v>
      </c>
      <c r="R21" s="3">
        <v>0.5</v>
      </c>
      <c r="S21" s="3">
        <v>0</v>
      </c>
      <c r="T21" s="4">
        <v>1</v>
      </c>
      <c r="U21" s="3">
        <v>1</v>
      </c>
      <c r="V21" s="3">
        <v>0.5</v>
      </c>
      <c r="W21" s="3">
        <v>1</v>
      </c>
      <c r="X21" s="3">
        <v>1</v>
      </c>
      <c r="Y21" s="4">
        <v>0</v>
      </c>
      <c r="Z21" s="3">
        <v>0</v>
      </c>
      <c r="AA21" s="3">
        <v>0.5</v>
      </c>
    </row>
    <row r="22" spans="1:27" ht="13.5" customHeight="1" x14ac:dyDescent="0.25">
      <c r="A22" s="1" t="s">
        <v>40</v>
      </c>
      <c r="B22" s="1" t="s">
        <v>41</v>
      </c>
      <c r="C22" s="6">
        <f t="shared" si="9"/>
        <v>1</v>
      </c>
      <c r="D22" s="6">
        <f t="shared" si="10"/>
        <v>2</v>
      </c>
      <c r="E22" s="6">
        <f t="shared" si="11"/>
        <v>1</v>
      </c>
      <c r="F22" s="6">
        <f t="shared" si="12"/>
        <v>1.5</v>
      </c>
      <c r="G22" s="6">
        <f t="shared" si="13"/>
        <v>1.5</v>
      </c>
      <c r="H22" s="6">
        <f t="shared" si="14"/>
        <v>2</v>
      </c>
      <c r="I22" s="6">
        <f t="shared" si="15"/>
        <v>9</v>
      </c>
      <c r="J22" s="1">
        <f t="shared" si="17"/>
        <v>1</v>
      </c>
      <c r="K22" s="1">
        <f t="shared" si="18"/>
        <v>2</v>
      </c>
      <c r="L22" s="1">
        <f t="shared" si="19"/>
        <v>0.875</v>
      </c>
      <c r="M22" s="1">
        <f t="shared" si="20"/>
        <v>1.5</v>
      </c>
      <c r="N22" s="1">
        <f t="shared" si="21"/>
        <v>1.125</v>
      </c>
      <c r="O22" s="1">
        <f t="shared" si="22"/>
        <v>2</v>
      </c>
      <c r="P22" s="1">
        <f t="shared" si="16"/>
        <v>8.5</v>
      </c>
      <c r="R22" s="3">
        <v>1</v>
      </c>
      <c r="S22" s="3">
        <v>1</v>
      </c>
      <c r="T22" s="4">
        <v>1</v>
      </c>
      <c r="U22" s="3">
        <v>1</v>
      </c>
      <c r="V22" s="3">
        <v>0.5</v>
      </c>
      <c r="W22" s="3">
        <v>0</v>
      </c>
      <c r="X22" s="3">
        <v>0.75</v>
      </c>
      <c r="Y22" s="4">
        <v>1</v>
      </c>
      <c r="Z22" s="3">
        <v>1</v>
      </c>
      <c r="AA22" s="3">
        <v>0.5</v>
      </c>
    </row>
    <row r="23" spans="1:27" ht="13.5" customHeight="1" x14ac:dyDescent="0.25">
      <c r="A23" s="2" t="s">
        <v>42</v>
      </c>
      <c r="B23" s="2" t="s">
        <v>43</v>
      </c>
      <c r="C23" s="6">
        <f t="shared" si="9"/>
        <v>0</v>
      </c>
      <c r="D23" s="6">
        <f t="shared" si="10"/>
        <v>0</v>
      </c>
      <c r="E23" s="6">
        <f t="shared" si="11"/>
        <v>0</v>
      </c>
      <c r="F23" s="6">
        <f t="shared" si="12"/>
        <v>0</v>
      </c>
      <c r="G23" s="6">
        <f t="shared" si="13"/>
        <v>0</v>
      </c>
      <c r="H23" s="6">
        <f t="shared" si="14"/>
        <v>0</v>
      </c>
      <c r="I23" s="6"/>
      <c r="J23" s="2"/>
      <c r="K23" s="2"/>
      <c r="L23" s="2"/>
      <c r="M23" s="2"/>
      <c r="N23" s="2"/>
      <c r="O23" s="2"/>
      <c r="P23" s="2"/>
    </row>
    <row r="24" spans="1:27" ht="13.5" customHeight="1" x14ac:dyDescent="0.25">
      <c r="A24" s="1" t="s">
        <v>44</v>
      </c>
      <c r="B24" s="1" t="s">
        <v>45</v>
      </c>
      <c r="C24" s="6">
        <f t="shared" si="9"/>
        <v>0</v>
      </c>
      <c r="D24" s="6">
        <f t="shared" si="10"/>
        <v>0</v>
      </c>
      <c r="E24" s="6">
        <f t="shared" si="11"/>
        <v>0</v>
      </c>
      <c r="F24" s="6">
        <f t="shared" si="12"/>
        <v>0</v>
      </c>
      <c r="G24" s="6">
        <f t="shared" si="13"/>
        <v>0</v>
      </c>
      <c r="H24" s="6">
        <f t="shared" si="14"/>
        <v>0</v>
      </c>
      <c r="I24" s="6"/>
      <c r="J24" s="1"/>
      <c r="K24" s="1"/>
      <c r="L24" s="1"/>
      <c r="M24" s="1"/>
      <c r="N24" s="1"/>
      <c r="O24" s="1"/>
      <c r="P24" s="1"/>
    </row>
    <row r="25" spans="1:27" ht="13.5" customHeight="1" x14ac:dyDescent="0.25">
      <c r="A25" s="2" t="s">
        <v>46</v>
      </c>
      <c r="B25" s="2" t="s">
        <v>47</v>
      </c>
      <c r="C25" s="6">
        <f t="shared" si="9"/>
        <v>0.5</v>
      </c>
      <c r="D25" s="6">
        <f t="shared" si="10"/>
        <v>0</v>
      </c>
      <c r="E25" s="6">
        <f t="shared" si="11"/>
        <v>0</v>
      </c>
      <c r="F25" s="6">
        <f t="shared" si="12"/>
        <v>0.5</v>
      </c>
      <c r="G25" s="6">
        <f t="shared" si="13"/>
        <v>0.5</v>
      </c>
      <c r="H25" s="6">
        <f t="shared" si="14"/>
        <v>0</v>
      </c>
      <c r="I25" s="6">
        <f t="shared" si="15"/>
        <v>1.5</v>
      </c>
      <c r="J25" s="2">
        <f>AVERAGE(R25,U25)*1</f>
        <v>0.5</v>
      </c>
      <c r="K25" s="2">
        <f>AVERAGE(T25,Y25,Z25)*2</f>
        <v>0</v>
      </c>
      <c r="L25" s="2">
        <f>AVERAGE(X25,Z25)</f>
        <v>0</v>
      </c>
      <c r="M25" s="2">
        <f>AVERAGE(R25,V25,X25)*2</f>
        <v>0.33333333333333331</v>
      </c>
      <c r="N25" s="2">
        <f>AVERAGE(S25,W25,X25,AA25)*2</f>
        <v>0.5</v>
      </c>
      <c r="O25" s="2">
        <f>AVERAGE(T25,Y25)*2</f>
        <v>0</v>
      </c>
      <c r="P25" s="2">
        <f t="shared" si="16"/>
        <v>1.3333333333333333</v>
      </c>
      <c r="R25" s="3">
        <v>0</v>
      </c>
      <c r="S25" s="3">
        <v>0</v>
      </c>
      <c r="T25" s="4">
        <v>0</v>
      </c>
      <c r="U25" s="3">
        <v>1</v>
      </c>
      <c r="V25" s="3">
        <v>0.5</v>
      </c>
      <c r="W25" s="3">
        <v>1</v>
      </c>
      <c r="X25" s="3">
        <v>0</v>
      </c>
      <c r="Y25" s="4">
        <v>0</v>
      </c>
      <c r="Z25" s="3">
        <v>0</v>
      </c>
      <c r="AA25" s="3">
        <v>0</v>
      </c>
    </row>
    <row r="26" spans="1:27" ht="13.5" customHeight="1" x14ac:dyDescent="0.25">
      <c r="A26" s="1" t="s">
        <v>48</v>
      </c>
      <c r="B26" s="1" t="s">
        <v>49</v>
      </c>
      <c r="C26" s="6">
        <f t="shared" si="9"/>
        <v>0.5</v>
      </c>
      <c r="D26" s="6">
        <f t="shared" si="10"/>
        <v>2</v>
      </c>
      <c r="E26" s="6">
        <f t="shared" si="11"/>
        <v>1</v>
      </c>
      <c r="F26" s="6">
        <f t="shared" si="12"/>
        <v>2</v>
      </c>
      <c r="G26" s="6">
        <f t="shared" si="13"/>
        <v>2</v>
      </c>
      <c r="H26" s="6">
        <f t="shared" si="14"/>
        <v>2</v>
      </c>
      <c r="I26" s="6">
        <f t="shared" si="15"/>
        <v>9.5</v>
      </c>
      <c r="J26" s="1">
        <f t="shared" ref="J26" si="23">AVERAGE(R26,U26)*1</f>
        <v>0.25</v>
      </c>
      <c r="K26" s="1">
        <f t="shared" ref="K26" si="24">AVERAGE(T26,Y26,Z26)*2</f>
        <v>1.6666666666666667</v>
      </c>
      <c r="L26" s="1">
        <f t="shared" ref="L26" si="25">AVERAGE(X26,Z26)</f>
        <v>0.75</v>
      </c>
      <c r="M26" s="1">
        <f t="shared" ref="M26" si="26">AVERAGE(R26,V26,X26)*2</f>
        <v>1.6666666666666667</v>
      </c>
      <c r="N26" s="1">
        <f t="shared" ref="N26" si="27">AVERAGE(S26,W26,X26,AA26)*2</f>
        <v>1.75</v>
      </c>
      <c r="O26" s="1">
        <f t="shared" ref="O26" si="28">AVERAGE(T26,Y26)*2</f>
        <v>2</v>
      </c>
      <c r="P26" s="1">
        <f t="shared" si="16"/>
        <v>8.0833333333333339</v>
      </c>
      <c r="R26" s="3">
        <v>0.5</v>
      </c>
      <c r="S26" s="3">
        <v>0.5</v>
      </c>
      <c r="T26" s="4">
        <v>1</v>
      </c>
      <c r="U26" s="3">
        <v>0</v>
      </c>
      <c r="V26" s="3">
        <v>1</v>
      </c>
      <c r="W26" s="3">
        <v>1</v>
      </c>
      <c r="X26" s="3">
        <v>1</v>
      </c>
      <c r="Y26" s="4">
        <v>1</v>
      </c>
      <c r="Z26" s="3">
        <v>0.5</v>
      </c>
      <c r="AA26" s="3">
        <v>1</v>
      </c>
    </row>
    <row r="27" spans="1:27" ht="13.5" customHeight="1" x14ac:dyDescent="0.25">
      <c r="A27" s="2" t="s">
        <v>50</v>
      </c>
      <c r="B27" s="2" t="s">
        <v>51</v>
      </c>
      <c r="C27" s="6">
        <f t="shared" si="9"/>
        <v>0</v>
      </c>
      <c r="D27" s="6">
        <f t="shared" si="10"/>
        <v>0.5</v>
      </c>
      <c r="E27" s="6">
        <f t="shared" si="11"/>
        <v>0.5</v>
      </c>
      <c r="F27" s="6">
        <f t="shared" si="12"/>
        <v>0.5</v>
      </c>
      <c r="G27" s="6">
        <f t="shared" si="13"/>
        <v>1</v>
      </c>
      <c r="H27" s="6">
        <f t="shared" si="14"/>
        <v>0.5</v>
      </c>
      <c r="I27" s="6">
        <f t="shared" si="15"/>
        <v>3</v>
      </c>
      <c r="J27" s="2">
        <f>AVERAGE(R27,U27)*1</f>
        <v>0</v>
      </c>
      <c r="K27" s="2">
        <f>AVERAGE(T27,Y27,Z27)*2</f>
        <v>0.33333333333333331</v>
      </c>
      <c r="L27" s="2">
        <f>AVERAGE(X27,Z27)</f>
        <v>0.25</v>
      </c>
      <c r="M27" s="2">
        <f>AVERAGE(R27,V27,X27)*2</f>
        <v>0.33333333333333331</v>
      </c>
      <c r="N27" s="2">
        <f>AVERAGE(S27,W27,X27,AA27)*2</f>
        <v>0.75</v>
      </c>
      <c r="O27" s="2">
        <f>AVERAGE(T27,Y27)*2</f>
        <v>0.5</v>
      </c>
      <c r="P27" s="2">
        <f t="shared" si="16"/>
        <v>2.1666666666666665</v>
      </c>
      <c r="R27" s="3">
        <v>0</v>
      </c>
      <c r="S27" s="3">
        <v>0</v>
      </c>
      <c r="T27" s="4">
        <v>0.5</v>
      </c>
      <c r="U27" s="3">
        <v>0</v>
      </c>
      <c r="V27" s="3">
        <v>0</v>
      </c>
      <c r="W27" s="3">
        <v>1</v>
      </c>
      <c r="X27" s="3">
        <v>0.5</v>
      </c>
      <c r="Y27" s="4">
        <v>0</v>
      </c>
      <c r="Z27" s="3">
        <v>0</v>
      </c>
      <c r="AA27" s="3">
        <v>0</v>
      </c>
    </row>
    <row r="29" spans="1:27" ht="13.5" customHeight="1" x14ac:dyDescent="0.25">
      <c r="I29" s="5">
        <f>AVERAGE(I2:I27)</f>
        <v>6.8809523809523814</v>
      </c>
      <c r="J29">
        <f t="shared" ref="J29:O29" si="29">AVERAGE(J3:J27)</f>
        <v>0.52380952380952384</v>
      </c>
      <c r="K29">
        <f t="shared" si="29"/>
        <v>1.2063492063492065</v>
      </c>
      <c r="L29">
        <f t="shared" si="29"/>
        <v>0.63095238095238093</v>
      </c>
      <c r="M29">
        <f t="shared" si="29"/>
        <v>1.142857142857143</v>
      </c>
      <c r="N29">
        <f t="shared" si="29"/>
        <v>1.2321428571428572</v>
      </c>
      <c r="O29">
        <f t="shared" si="29"/>
        <v>1.3333333333333333</v>
      </c>
      <c r="P29">
        <f>AVERAGE(P3:P27)</f>
        <v>6.0694444444444446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thomas ricart</cp:lastModifiedBy>
  <cp:revision>9</cp:revision>
  <dcterms:created xsi:type="dcterms:W3CDTF">2021-03-12T11:41:31Z</dcterms:created>
  <dcterms:modified xsi:type="dcterms:W3CDTF">2021-04-13T06:08:50Z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