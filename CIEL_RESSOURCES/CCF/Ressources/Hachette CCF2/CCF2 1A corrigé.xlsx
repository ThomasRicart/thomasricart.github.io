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715" windowHeight="8265" activeTab="1"/>
  </bookViews>
  <sheets>
    <sheet name="CCF2 partie A" sheetId="1" r:id="rId1"/>
    <sheet name="CCF2 partie B" sheetId="2" r:id="rId2"/>
  </sheets>
  <calcPr calcId="125725"/>
</workbook>
</file>

<file path=xl/calcChain.xml><?xml version="1.0" encoding="utf-8"?>
<calcChain xmlns="http://schemas.openxmlformats.org/spreadsheetml/2006/main">
  <c r="B20" i="1"/>
  <c r="B19"/>
  <c r="B21" s="1"/>
  <c r="B22" s="1"/>
  <c r="E15"/>
  <c r="E14"/>
  <c r="E13"/>
  <c r="E12"/>
  <c r="C12"/>
  <c r="E11"/>
  <c r="D11"/>
  <c r="E10"/>
  <c r="D10"/>
  <c r="E9"/>
  <c r="D9"/>
  <c r="E8"/>
  <c r="D8"/>
  <c r="E7"/>
  <c r="D7"/>
  <c r="E6"/>
  <c r="D6"/>
  <c r="E5"/>
  <c r="D5"/>
  <c r="E4"/>
  <c r="D4"/>
  <c r="E3"/>
</calcChain>
</file>

<file path=xl/sharedStrings.xml><?xml version="1.0" encoding="utf-8"?>
<sst xmlns="http://schemas.openxmlformats.org/spreadsheetml/2006/main" count="24" uniqueCount="24">
  <si>
    <t>Prix du baril de Brent en $ US</t>
  </si>
  <si>
    <t>Mois</t>
  </si>
  <si>
    <r>
      <t xml:space="preserve">Rang , </t>
    </r>
    <r>
      <rPr>
        <b/>
        <i/>
        <sz val="11"/>
        <color theme="1"/>
        <rFont val="Calibri"/>
        <family val="2"/>
        <scheme val="minor"/>
      </rPr>
      <t>x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</si>
  <si>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 xml:space="preserve">Prix en $ US 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</si>
  <si>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Variation en Pourcentage</t>
  </si>
  <si>
    <t xml:space="preserve">f(x) </t>
  </si>
  <si>
    <t>avr. 2014</t>
  </si>
  <si>
    <t>juil. 2014</t>
  </si>
  <si>
    <t>sept. 2014</t>
  </si>
  <si>
    <t>oct. 2014</t>
  </si>
  <si>
    <t>nov. 2014</t>
  </si>
  <si>
    <t>dec. 2014</t>
  </si>
  <si>
    <t>janv.2015</t>
  </si>
  <si>
    <t>fev.2015</t>
  </si>
  <si>
    <t>mars.2015</t>
  </si>
  <si>
    <t>avr. 2015</t>
  </si>
  <si>
    <t xml:space="preserve">juin - Décembre </t>
  </si>
  <si>
    <t>CM</t>
  </si>
  <si>
    <t xml:space="preserve">taux </t>
  </si>
  <si>
    <t xml:space="preserve">CM moyen </t>
  </si>
  <si>
    <t xml:space="preserve">taux moyen </t>
  </si>
  <si>
    <t>Comparaison Boeuf - Pétrole</t>
  </si>
  <si>
    <r>
      <t xml:space="preserve">Prix du bœuf, en euros par livre, </t>
    </r>
    <r>
      <rPr>
        <b/>
        <i/>
        <sz val="11"/>
        <color rgb="FF000000"/>
        <rFont val="Calibri"/>
        <family val="2"/>
      </rPr>
      <t>x</t>
    </r>
    <r>
      <rPr>
        <b/>
        <i/>
        <vertAlign val="subscript"/>
        <sz val="11"/>
        <color rgb="FF000000"/>
        <rFont val="Calibri"/>
        <family val="2"/>
      </rPr>
      <t>i</t>
    </r>
  </si>
  <si>
    <r>
      <t xml:space="preserve">Prix du baril de pétrole Brent, en $ US, </t>
    </r>
    <r>
      <rPr>
        <b/>
        <i/>
        <sz val="11"/>
        <color rgb="FF000000"/>
        <rFont val="Calibri"/>
        <family val="2"/>
      </rPr>
      <t>y</t>
    </r>
    <r>
      <rPr>
        <b/>
        <i/>
        <vertAlign val="subscript"/>
        <sz val="11"/>
        <color rgb="FF000000"/>
        <rFont val="Calibri"/>
        <family val="2"/>
      </rPr>
      <t>i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</si>
</sst>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7.5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vertAlign val="subscript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0" fontId="0" fillId="0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7" fontId="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0" fontId="0" fillId="0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0" fontId="0" fillId="0" borderId="3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right" vertical="center" wrapText="1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17" fontId="0" fillId="0" borderId="3" xfId="0" applyNumberFormat="1" applyFill="1" applyBorder="1" applyAlignment="1">
      <alignment horizontal="right" vertical="center" wrapText="1"/>
    </xf>
    <xf numFmtId="0" fontId="3" fillId="0" borderId="0" xfId="0" applyFont="1"/>
    <xf numFmtId="0" fontId="6" fillId="0" borderId="0" xfId="0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applyBorder="1" applyAlignment="1">
      <alignment horizontal="center"/>
    </xf>
    <xf numFmtId="0" fontId="2" fillId="0" borderId="0" xfId="0" applyFont="1"/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</cellXfs>
  <cellStyles count="5">
    <cellStyle name="Normal" xfId="0" builtinId="0"/>
    <cellStyle name="Normal 2" xfId="2"/>
    <cellStyle name="Normal 3" xfId="3"/>
    <cellStyle name="Pourcentage" xfId="1" builtinId="5"/>
    <cellStyle name="Pourcentage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9194597550306339"/>
                  <c:y val="2.9148804316127149E-2"/>
                </c:manualLayout>
              </c:layout>
              <c:numFmt formatCode="General" sourceLinked="0"/>
            </c:trendlineLbl>
          </c:trendline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9.9932195975503207E-2"/>
                  <c:y val="0.19896835812190253"/>
                </c:manualLayout>
              </c:layout>
              <c:numFmt formatCode="General" sourceLinked="0"/>
            </c:trendlineLbl>
          </c:trendline>
          <c:xVal>
            <c:numRef>
              <c:f>'CCF2 partie A'!$B$3:$B$11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'CCF2 partie A'!$C$3:$C$11</c:f>
              <c:numCache>
                <c:formatCode>General</c:formatCode>
                <c:ptCount val="9"/>
                <c:pt idx="0">
                  <c:v>107.88</c:v>
                </c:pt>
                <c:pt idx="1">
                  <c:v>109.68</c:v>
                </c:pt>
                <c:pt idx="2">
                  <c:v>111.87</c:v>
                </c:pt>
                <c:pt idx="3">
                  <c:v>106.98</c:v>
                </c:pt>
                <c:pt idx="4">
                  <c:v>101.92</c:v>
                </c:pt>
                <c:pt idx="5">
                  <c:v>97.34</c:v>
                </c:pt>
                <c:pt idx="6">
                  <c:v>87.27</c:v>
                </c:pt>
                <c:pt idx="7">
                  <c:v>78.44</c:v>
                </c:pt>
                <c:pt idx="8">
                  <c:v>62.18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'CCF2 partie A'!$B$3:$B$11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'CCF2 partie A'!$E$3:$E$11</c:f>
              <c:numCache>
                <c:formatCode>0.00</c:formatCode>
                <c:ptCount val="9"/>
                <c:pt idx="0">
                  <c:v>107.9</c:v>
                </c:pt>
                <c:pt idx="1">
                  <c:v>110.1</c:v>
                </c:pt>
                <c:pt idx="2">
                  <c:v>110.1</c:v>
                </c:pt>
                <c:pt idx="3">
                  <c:v>107.9</c:v>
                </c:pt>
                <c:pt idx="4">
                  <c:v>103.5</c:v>
                </c:pt>
                <c:pt idx="5">
                  <c:v>96.9</c:v>
                </c:pt>
                <c:pt idx="6">
                  <c:v>88.1</c:v>
                </c:pt>
                <c:pt idx="7">
                  <c:v>77.099999999999994</c:v>
                </c:pt>
                <c:pt idx="8">
                  <c:v>63.899999999999991</c:v>
                </c:pt>
              </c:numCache>
            </c:numRef>
          </c:yVal>
        </c:ser>
        <c:axId val="95216384"/>
        <c:axId val="95217920"/>
      </c:scatterChart>
      <c:valAx>
        <c:axId val="95216384"/>
        <c:scaling>
          <c:orientation val="minMax"/>
        </c:scaling>
        <c:axPos val="b"/>
        <c:numFmt formatCode="General" sourceLinked="1"/>
        <c:tickLblPos val="nextTo"/>
        <c:crossAx val="95217920"/>
        <c:crosses val="autoZero"/>
        <c:crossBetween val="midCat"/>
      </c:valAx>
      <c:valAx>
        <c:axId val="95217920"/>
        <c:scaling>
          <c:orientation val="minMax"/>
        </c:scaling>
        <c:axPos val="l"/>
        <c:majorGridlines/>
        <c:numFmt formatCode="General" sourceLinked="1"/>
        <c:tickLblPos val="nextTo"/>
        <c:crossAx val="95216384"/>
        <c:crosses val="autoZero"/>
        <c:crossBetween val="midCat"/>
      </c:valAx>
    </c:plotArea>
    <c:plotVisOnly val="1"/>
    <c:dispBlanksAs val="gap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900984251968503"/>
                  <c:y val="5.3718285214348531E-3"/>
                </c:manualLayout>
              </c:layout>
              <c:numFmt formatCode="General" sourceLinked="0"/>
            </c:trendlineLbl>
          </c:trendline>
          <c:xVal>
            <c:numRef>
              <c:f>'CCF2 partie B'!$A$3:$A$10</c:f>
              <c:numCache>
                <c:formatCode>General</c:formatCode>
                <c:ptCount val="8"/>
                <c:pt idx="0">
                  <c:v>1.36</c:v>
                </c:pt>
                <c:pt idx="1">
                  <c:v>1.39</c:v>
                </c:pt>
                <c:pt idx="2">
                  <c:v>1.43</c:v>
                </c:pt>
                <c:pt idx="3">
                  <c:v>1.48</c:v>
                </c:pt>
                <c:pt idx="4">
                  <c:v>1.68</c:v>
                </c:pt>
                <c:pt idx="5">
                  <c:v>1.94</c:v>
                </c:pt>
                <c:pt idx="6">
                  <c:v>2.1</c:v>
                </c:pt>
                <c:pt idx="7">
                  <c:v>2.12</c:v>
                </c:pt>
              </c:numCache>
            </c:numRef>
          </c:xVal>
          <c:yVal>
            <c:numRef>
              <c:f>'CCF2 partie B'!$B$3:$B$10</c:f>
              <c:numCache>
                <c:formatCode>General</c:formatCode>
                <c:ptCount val="8"/>
                <c:pt idx="0">
                  <c:v>80.760000000000005</c:v>
                </c:pt>
                <c:pt idx="1">
                  <c:v>79.680000000000007</c:v>
                </c:pt>
                <c:pt idx="2">
                  <c:v>77.709999999999994</c:v>
                </c:pt>
                <c:pt idx="3">
                  <c:v>82.2</c:v>
                </c:pt>
                <c:pt idx="4">
                  <c:v>79</c:v>
                </c:pt>
                <c:pt idx="5">
                  <c:v>72.540000000000006</c:v>
                </c:pt>
                <c:pt idx="6">
                  <c:v>62.9</c:v>
                </c:pt>
                <c:pt idx="7">
                  <c:v>68.87</c:v>
                </c:pt>
              </c:numCache>
            </c:numRef>
          </c:yVal>
        </c:ser>
        <c:axId val="130967040"/>
        <c:axId val="130968576"/>
      </c:scatterChart>
      <c:valAx>
        <c:axId val="130967040"/>
        <c:scaling>
          <c:orientation val="minMax"/>
        </c:scaling>
        <c:axPos val="b"/>
        <c:numFmt formatCode="General" sourceLinked="1"/>
        <c:tickLblPos val="nextTo"/>
        <c:crossAx val="130968576"/>
        <c:crosses val="autoZero"/>
        <c:crossBetween val="midCat"/>
      </c:valAx>
      <c:valAx>
        <c:axId val="130968576"/>
        <c:scaling>
          <c:orientation val="minMax"/>
        </c:scaling>
        <c:axPos val="l"/>
        <c:majorGridlines/>
        <c:numFmt formatCode="General" sourceLinked="1"/>
        <c:tickLblPos val="nextTo"/>
        <c:crossAx val="1309670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2431933508311491"/>
                  <c:y val="-0.27269867308253137"/>
                </c:manualLayout>
              </c:layout>
              <c:numFmt formatCode="General" sourceLinked="0"/>
            </c:trendlineLbl>
          </c:trendline>
          <c:xVal>
            <c:numRef>
              <c:f>'CCF2 partie B'!$B$3:$B$10</c:f>
              <c:numCache>
                <c:formatCode>General</c:formatCode>
                <c:ptCount val="8"/>
                <c:pt idx="0">
                  <c:v>80.760000000000005</c:v>
                </c:pt>
                <c:pt idx="1">
                  <c:v>79.680000000000007</c:v>
                </c:pt>
                <c:pt idx="2">
                  <c:v>77.709999999999994</c:v>
                </c:pt>
                <c:pt idx="3">
                  <c:v>82.2</c:v>
                </c:pt>
                <c:pt idx="4">
                  <c:v>79</c:v>
                </c:pt>
                <c:pt idx="5">
                  <c:v>72.540000000000006</c:v>
                </c:pt>
                <c:pt idx="6">
                  <c:v>62.9</c:v>
                </c:pt>
                <c:pt idx="7">
                  <c:v>68.87</c:v>
                </c:pt>
              </c:numCache>
            </c:numRef>
          </c:xVal>
          <c:yVal>
            <c:numRef>
              <c:f>'CCF2 partie B'!$C$3:$C$10</c:f>
              <c:numCache>
                <c:formatCode>General</c:formatCode>
                <c:ptCount val="8"/>
                <c:pt idx="0">
                  <c:v>1.36</c:v>
                </c:pt>
                <c:pt idx="1">
                  <c:v>1.39</c:v>
                </c:pt>
                <c:pt idx="2">
                  <c:v>1.43</c:v>
                </c:pt>
                <c:pt idx="3">
                  <c:v>1.48</c:v>
                </c:pt>
                <c:pt idx="4">
                  <c:v>1.68</c:v>
                </c:pt>
                <c:pt idx="5">
                  <c:v>1.94</c:v>
                </c:pt>
                <c:pt idx="6">
                  <c:v>2.1</c:v>
                </c:pt>
                <c:pt idx="7">
                  <c:v>2.12</c:v>
                </c:pt>
              </c:numCache>
            </c:numRef>
          </c:yVal>
        </c:ser>
        <c:axId val="33434624"/>
        <c:axId val="33452800"/>
      </c:scatterChart>
      <c:valAx>
        <c:axId val="33434624"/>
        <c:scaling>
          <c:orientation val="minMax"/>
        </c:scaling>
        <c:axPos val="b"/>
        <c:numFmt formatCode="General" sourceLinked="1"/>
        <c:tickLblPos val="nextTo"/>
        <c:crossAx val="33452800"/>
        <c:crosses val="autoZero"/>
        <c:crossBetween val="midCat"/>
      </c:valAx>
      <c:valAx>
        <c:axId val="33452800"/>
        <c:scaling>
          <c:orientation val="minMax"/>
        </c:scaling>
        <c:axPos val="l"/>
        <c:majorGridlines/>
        <c:numFmt formatCode="General" sourceLinked="1"/>
        <c:tickLblPos val="nextTo"/>
        <c:crossAx val="334346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1</xdr:row>
      <xdr:rowOff>22860</xdr:rowOff>
    </xdr:from>
    <xdr:to>
      <xdr:col>10</xdr:col>
      <xdr:colOff>716280</xdr:colOff>
      <xdr:row>14</xdr:row>
      <xdr:rowOff>184785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161925</xdr:rowOff>
    </xdr:from>
    <xdr:to>
      <xdr:col>10</xdr:col>
      <xdr:colOff>266700</xdr:colOff>
      <xdr:row>13</xdr:row>
      <xdr:rowOff>152400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10</xdr:row>
      <xdr:rowOff>152400</xdr:rowOff>
    </xdr:from>
    <xdr:to>
      <xdr:col>3</xdr:col>
      <xdr:colOff>733425</xdr:colOff>
      <xdr:row>25</xdr:row>
      <xdr:rowOff>38100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selection activeCell="D25" sqref="D25"/>
    </sheetView>
  </sheetViews>
  <sheetFormatPr baseColWidth="10" defaultRowHeight="15"/>
  <cols>
    <col min="1" max="1" width="9.5703125" style="2" customWidth="1"/>
    <col min="2" max="2" width="10.42578125" style="2" customWidth="1"/>
    <col min="3" max="3" width="15" style="2" customWidth="1"/>
    <col min="4" max="4" width="15.85546875" style="2" customWidth="1"/>
    <col min="5" max="5" width="11.42578125" style="2"/>
  </cols>
  <sheetData>
    <row r="1" spans="1:5" ht="18.75">
      <c r="A1" s="1" t="s">
        <v>0</v>
      </c>
      <c r="E1" s="2">
        <v>-1.1000000000000001</v>
      </c>
    </row>
    <row r="2" spans="1:5" ht="32.2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6.5" customHeight="1">
      <c r="A3" s="5" t="s">
        <v>6</v>
      </c>
      <c r="B3" s="5">
        <v>1</v>
      </c>
      <c r="C3" s="5">
        <v>107.88</v>
      </c>
      <c r="D3" s="6"/>
      <c r="E3" s="7">
        <f>$E$1*B3^2+5.5*B3+103.5</f>
        <v>107.9</v>
      </c>
    </row>
    <row r="4" spans="1:5" ht="16.5" customHeight="1">
      <c r="A4" s="8">
        <v>41760</v>
      </c>
      <c r="B4" s="5">
        <v>2</v>
      </c>
      <c r="C4" s="5">
        <v>109.68</v>
      </c>
      <c r="D4" s="6">
        <f>-(C4/C3-1)</f>
        <v>-1.6685205784204848E-2</v>
      </c>
      <c r="E4" s="7">
        <f t="shared" ref="E4:E10" si="0">$E$1*B4^2+5.5*B4+103.5</f>
        <v>110.1</v>
      </c>
    </row>
    <row r="5" spans="1:5" ht="16.5" customHeight="1">
      <c r="A5" s="8">
        <v>41791</v>
      </c>
      <c r="B5" s="5">
        <v>3</v>
      </c>
      <c r="C5" s="5">
        <v>111.87</v>
      </c>
      <c r="D5" s="6">
        <f t="shared" ref="D5:D11" si="1">-(C5/C4-1)</f>
        <v>-1.9967177242888434E-2</v>
      </c>
      <c r="E5" s="7">
        <f t="shared" si="0"/>
        <v>110.1</v>
      </c>
    </row>
    <row r="6" spans="1:5" ht="16.5" customHeight="1">
      <c r="A6" s="5" t="s">
        <v>7</v>
      </c>
      <c r="B6" s="5">
        <v>4</v>
      </c>
      <c r="C6" s="5">
        <v>106.98</v>
      </c>
      <c r="D6" s="6">
        <f t="shared" si="1"/>
        <v>4.371145079109684E-2</v>
      </c>
      <c r="E6" s="7">
        <f t="shared" si="0"/>
        <v>107.9</v>
      </c>
    </row>
    <row r="7" spans="1:5" ht="16.5" customHeight="1">
      <c r="A7" s="8">
        <v>41852</v>
      </c>
      <c r="B7" s="5">
        <v>5</v>
      </c>
      <c r="C7" s="5">
        <v>101.92</v>
      </c>
      <c r="D7" s="6">
        <f t="shared" si="1"/>
        <v>4.7298560478594154E-2</v>
      </c>
      <c r="E7" s="7">
        <f t="shared" si="0"/>
        <v>103.5</v>
      </c>
    </row>
    <row r="8" spans="1:5" ht="16.5" customHeight="1">
      <c r="A8" s="5" t="s">
        <v>8</v>
      </c>
      <c r="B8" s="5">
        <v>6</v>
      </c>
      <c r="C8" s="5">
        <v>97.34</v>
      </c>
      <c r="D8" s="6">
        <f t="shared" si="1"/>
        <v>4.4937205651491396E-2</v>
      </c>
      <c r="E8" s="7">
        <f t="shared" si="0"/>
        <v>96.9</v>
      </c>
    </row>
    <row r="9" spans="1:5" ht="16.5" customHeight="1">
      <c r="A9" s="5" t="s">
        <v>9</v>
      </c>
      <c r="B9" s="5">
        <v>7</v>
      </c>
      <c r="C9" s="5">
        <v>87.27</v>
      </c>
      <c r="D9" s="6">
        <f t="shared" si="1"/>
        <v>0.10345181836860495</v>
      </c>
      <c r="E9" s="7">
        <f t="shared" si="0"/>
        <v>88.1</v>
      </c>
    </row>
    <row r="10" spans="1:5" ht="16.5" customHeight="1">
      <c r="A10" s="9" t="s">
        <v>10</v>
      </c>
      <c r="B10" s="9">
        <v>8</v>
      </c>
      <c r="C10" s="9">
        <v>78.44</v>
      </c>
      <c r="D10" s="10">
        <f t="shared" si="1"/>
        <v>0.10118024521599633</v>
      </c>
      <c r="E10" s="7">
        <f t="shared" si="0"/>
        <v>77.099999999999994</v>
      </c>
    </row>
    <row r="11" spans="1:5" ht="16.5" customHeight="1">
      <c r="A11" s="11" t="s">
        <v>11</v>
      </c>
      <c r="B11" s="12">
        <v>9</v>
      </c>
      <c r="C11" s="12">
        <v>62.18</v>
      </c>
      <c r="D11" s="13">
        <f t="shared" si="1"/>
        <v>0.20729219785823561</v>
      </c>
      <c r="E11" s="7">
        <f>$E$1*B11^2+5.5*B11+103.5</f>
        <v>63.899999999999991</v>
      </c>
    </row>
    <row r="12" spans="1:5">
      <c r="A12" s="14" t="s">
        <v>12</v>
      </c>
      <c r="B12" s="15">
        <v>10</v>
      </c>
      <c r="C12" s="16">
        <f>FORECAST(B12,C3:C11,B3:B11)</f>
        <v>68.004444444444445</v>
      </c>
      <c r="E12" s="7">
        <f t="shared" ref="E12:E15" si="2">$E$1*B12^2+5.5*B12+103.5</f>
        <v>48.499999999999986</v>
      </c>
    </row>
    <row r="13" spans="1:5">
      <c r="A13" s="17" t="s">
        <v>13</v>
      </c>
      <c r="B13" s="12">
        <v>11</v>
      </c>
      <c r="E13" s="7">
        <f t="shared" si="2"/>
        <v>30.899999999999977</v>
      </c>
    </row>
    <row r="14" spans="1:5">
      <c r="A14" s="15" t="s">
        <v>14</v>
      </c>
      <c r="B14" s="15">
        <v>12</v>
      </c>
      <c r="E14" s="7">
        <f t="shared" si="2"/>
        <v>11.099999999999994</v>
      </c>
    </row>
    <row r="15" spans="1:5">
      <c r="A15" s="15" t="s">
        <v>15</v>
      </c>
      <c r="B15" s="12">
        <v>13</v>
      </c>
      <c r="E15" s="7">
        <f t="shared" si="2"/>
        <v>-10.900000000000006</v>
      </c>
    </row>
    <row r="16" spans="1:5">
      <c r="A16" s="11"/>
      <c r="B16" s="15"/>
      <c r="C16" s="7"/>
      <c r="D16"/>
      <c r="E16"/>
    </row>
    <row r="17" spans="1:5">
      <c r="D17"/>
      <c r="E17"/>
    </row>
    <row r="18" spans="1:5">
      <c r="A18" s="18" t="s">
        <v>16</v>
      </c>
      <c r="B18"/>
      <c r="D18"/>
      <c r="E18"/>
    </row>
    <row r="19" spans="1:5">
      <c r="A19" t="s">
        <v>17</v>
      </c>
      <c r="B19">
        <f>C11/C5</f>
        <v>0.55582372396531687</v>
      </c>
      <c r="C19" s="19"/>
    </row>
    <row r="20" spans="1:5">
      <c r="A20" t="s">
        <v>18</v>
      </c>
      <c r="B20" s="20">
        <f>(1-B19)</f>
        <v>0.44417627603468313</v>
      </c>
      <c r="C20" s="19"/>
    </row>
    <row r="21" spans="1:5">
      <c r="A21" t="s">
        <v>19</v>
      </c>
      <c r="B21">
        <f>B19^(1/6)</f>
        <v>0.90675406930463143</v>
      </c>
      <c r="C21" s="19"/>
    </row>
    <row r="22" spans="1:5">
      <c r="A22" t="s">
        <v>20</v>
      </c>
      <c r="B22" s="20">
        <f>1-B21</f>
        <v>9.3245930695368573E-2</v>
      </c>
      <c r="C22" s="19"/>
    </row>
    <row r="23" spans="1:5">
      <c r="C23" s="19"/>
    </row>
    <row r="24" spans="1:5">
      <c r="B24" s="21"/>
      <c r="C24" s="19"/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tabSelected="1" zoomScaleNormal="100" workbookViewId="0">
      <selection activeCell="F21" sqref="F21"/>
    </sheetView>
  </sheetViews>
  <sheetFormatPr baseColWidth="10" defaultRowHeight="15"/>
  <cols>
    <col min="1" max="1" width="18.85546875" customWidth="1"/>
    <col min="2" max="2" width="22.28515625" customWidth="1"/>
  </cols>
  <sheetData>
    <row r="1" spans="1:3" ht="18.75">
      <c r="A1" s="22" t="s">
        <v>21</v>
      </c>
    </row>
    <row r="2" spans="1:3" ht="33">
      <c r="A2" s="23" t="s">
        <v>22</v>
      </c>
      <c r="B2" s="23" t="s">
        <v>23</v>
      </c>
    </row>
    <row r="3" spans="1:3">
      <c r="A3" s="24">
        <v>1.36</v>
      </c>
      <c r="B3" s="24">
        <v>80.760000000000005</v>
      </c>
      <c r="C3" s="24">
        <v>1.36</v>
      </c>
    </row>
    <row r="4" spans="1:3">
      <c r="A4" s="24">
        <v>1.39</v>
      </c>
      <c r="B4" s="24">
        <v>79.680000000000007</v>
      </c>
      <c r="C4" s="24">
        <v>1.39</v>
      </c>
    </row>
    <row r="5" spans="1:3">
      <c r="A5" s="24">
        <v>1.43</v>
      </c>
      <c r="B5" s="24">
        <v>77.709999999999994</v>
      </c>
      <c r="C5" s="24">
        <v>1.43</v>
      </c>
    </row>
    <row r="6" spans="1:3">
      <c r="A6" s="24">
        <v>1.48</v>
      </c>
      <c r="B6" s="24">
        <v>82.2</v>
      </c>
      <c r="C6" s="24">
        <v>1.48</v>
      </c>
    </row>
    <row r="7" spans="1:3">
      <c r="A7" s="24">
        <v>1.68</v>
      </c>
      <c r="B7" s="24">
        <v>79</v>
      </c>
      <c r="C7" s="24">
        <v>1.68</v>
      </c>
    </row>
    <row r="8" spans="1:3">
      <c r="A8" s="24">
        <v>1.94</v>
      </c>
      <c r="B8" s="24">
        <v>72.540000000000006</v>
      </c>
      <c r="C8" s="24">
        <v>1.94</v>
      </c>
    </row>
    <row r="9" spans="1:3">
      <c r="A9" s="24">
        <v>2.1</v>
      </c>
      <c r="B9" s="24">
        <v>62.9</v>
      </c>
      <c r="C9" s="24">
        <v>2.1</v>
      </c>
    </row>
    <row r="10" spans="1:3">
      <c r="A10" s="24">
        <v>2.12</v>
      </c>
      <c r="B10" s="24">
        <v>68.87</v>
      </c>
      <c r="C10" s="24">
        <v>2.12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CCF2 partie A</vt:lpstr>
      <vt:lpstr>CCF2 partie B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2016-03-14T15:23:53Z</dcterms:created>
  <dcterms:modified xsi:type="dcterms:W3CDTF">2016-03-14T15:25:09Z</dcterms:modified>
</cp:coreProperties>
</file>