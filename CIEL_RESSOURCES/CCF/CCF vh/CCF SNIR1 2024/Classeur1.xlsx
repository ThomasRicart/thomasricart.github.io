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 2024-2025\--- BTS CIEL 1 ---\CCF\CCF SNIR1 2024\"/>
    </mc:Choice>
  </mc:AlternateContent>
  <xr:revisionPtr revIDLastSave="0" documentId="13_ncr:1_{8198410D-9D8C-4B56-BB5F-1B45699BEB3E}" xr6:coauthVersionLast="47" xr6:coauthVersionMax="47" xr10:uidLastSave="{00000000-0000-0000-0000-000000000000}"/>
  <bookViews>
    <workbookView xWindow="-98" yWindow="-98" windowWidth="21795" windowHeight="12975" xr2:uid="{14DB53B0-A0DF-4DA1-AC59-4A3746F5A24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1" l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1" i="1"/>
  <c r="H10" i="1"/>
  <c r="H9" i="1"/>
  <c r="H8" i="1"/>
  <c r="H7" i="1"/>
  <c r="H6" i="1"/>
  <c r="H5" i="1"/>
  <c r="H4" i="1"/>
  <c r="H3" i="1"/>
  <c r="H1" i="1"/>
  <c r="AJ4" i="1"/>
  <c r="AI4" i="1"/>
  <c r="AJ3" i="1"/>
  <c r="AI3" i="1"/>
  <c r="AI22" i="1"/>
  <c r="AJ27" i="1"/>
  <c r="AI27" i="1"/>
  <c r="AK27" i="1" s="1"/>
  <c r="AJ26" i="1"/>
  <c r="AI26" i="1"/>
  <c r="AJ25" i="1"/>
  <c r="AI25" i="1"/>
  <c r="AJ24" i="1"/>
  <c r="AI24" i="1"/>
  <c r="AJ23" i="1"/>
  <c r="AI23" i="1"/>
  <c r="AK23" i="1" s="1"/>
  <c r="AJ22" i="1"/>
  <c r="AJ21" i="1"/>
  <c r="AI21" i="1"/>
  <c r="AK21" i="1" s="1"/>
  <c r="AJ20" i="1"/>
  <c r="AI20" i="1"/>
  <c r="AK20" i="1" s="1"/>
  <c r="AJ19" i="1"/>
  <c r="AI19" i="1"/>
  <c r="AK19" i="1" s="1"/>
  <c r="AJ18" i="1"/>
  <c r="AI18" i="1"/>
  <c r="AK18" i="1" s="1"/>
  <c r="AJ17" i="1"/>
  <c r="AI17" i="1"/>
  <c r="AJ16" i="1"/>
  <c r="AI16" i="1"/>
  <c r="AK16" i="1" s="1"/>
  <c r="AJ15" i="1"/>
  <c r="AI15" i="1"/>
  <c r="AK15" i="1" s="1"/>
  <c r="AJ14" i="1"/>
  <c r="AI14" i="1"/>
  <c r="AJ13" i="1"/>
  <c r="AI13" i="1"/>
  <c r="AK13" i="1" s="1"/>
  <c r="AJ12" i="1"/>
  <c r="AI12" i="1"/>
  <c r="AK12" i="1" s="1"/>
  <c r="AJ11" i="1"/>
  <c r="AI11" i="1"/>
  <c r="AK11" i="1" s="1"/>
  <c r="AJ10" i="1"/>
  <c r="AI10" i="1"/>
  <c r="AK10" i="1" s="1"/>
  <c r="AJ9" i="1"/>
  <c r="AI9" i="1"/>
  <c r="AK9" i="1" s="1"/>
  <c r="AJ8" i="1"/>
  <c r="AI8" i="1"/>
  <c r="AK8" i="1" s="1"/>
  <c r="AJ7" i="1"/>
  <c r="AI7" i="1"/>
  <c r="AK7" i="1" s="1"/>
  <c r="AJ6" i="1"/>
  <c r="AI6" i="1"/>
  <c r="AK6" i="1" s="1"/>
  <c r="AJ5" i="1"/>
  <c r="AI5" i="1"/>
  <c r="AK5" i="1" s="1"/>
  <c r="H30" i="1" l="1"/>
  <c r="AK4" i="1"/>
  <c r="AK3" i="1"/>
  <c r="AK14" i="1"/>
  <c r="AK24" i="1"/>
  <c r="AK26" i="1"/>
  <c r="AK25" i="1"/>
  <c r="AK22" i="1"/>
  <c r="AK17" i="1"/>
</calcChain>
</file>

<file path=xl/sharedStrings.xml><?xml version="1.0" encoding="utf-8"?>
<sst xmlns="http://schemas.openxmlformats.org/spreadsheetml/2006/main" count="60" uniqueCount="33">
  <si>
    <t>ADAO</t>
  </si>
  <si>
    <t>AGHOPOUR</t>
  </si>
  <si>
    <t>ARSLANE</t>
  </si>
  <si>
    <t>AUDEMARD</t>
  </si>
  <si>
    <t>BAZ</t>
  </si>
  <si>
    <t>BOLLEROT</t>
  </si>
  <si>
    <t>BREYTON</t>
  </si>
  <si>
    <t>BUSIN</t>
  </si>
  <si>
    <t>CALBANO</t>
  </si>
  <si>
    <t>DENAT</t>
  </si>
  <si>
    <t>MOKRANE</t>
  </si>
  <si>
    <t>SOULAN</t>
  </si>
  <si>
    <t>BOUHIA</t>
  </si>
  <si>
    <t>DERRAGUI</t>
  </si>
  <si>
    <t>EL BADRY</t>
  </si>
  <si>
    <t>FONTENEAU</t>
  </si>
  <si>
    <t>FOSSECAVE</t>
  </si>
  <si>
    <t>GIRARD</t>
  </si>
  <si>
    <t>GUESSE</t>
  </si>
  <si>
    <t>KOUADIO</t>
  </si>
  <si>
    <t>LOUMANDE</t>
  </si>
  <si>
    <t>PENCHENAT</t>
  </si>
  <si>
    <t>RAFIQ</t>
  </si>
  <si>
    <t>RIMBON</t>
  </si>
  <si>
    <t>SAUNIER</t>
  </si>
  <si>
    <t>MO</t>
  </si>
  <si>
    <t>CAL</t>
  </si>
  <si>
    <t>MOD</t>
  </si>
  <si>
    <t>INF</t>
  </si>
  <si>
    <t>CH</t>
  </si>
  <si>
    <t>RAI</t>
  </si>
  <si>
    <t>COM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</si>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</sst>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E2EF-4719-406B-B7D0-668EB51526A6}">
  <dimension ref="A1:AK30"/>
  <sheetViews>
    <sheetView tabSelected="1" workbookViewId="0">
      <selection sqref="A1:H27"/>
    </sheetView>
  </sheetViews>
  <sheetFormatPr baseColWidth="10" defaultRowHeight="15.4" customHeight="1" x14ac:dyDescent="0.45"/>
  <cols>
    <col min="2" max="7" width="6" style="3" customWidth="1"/>
    <col min="8" max="8" width="6" customWidth="1"/>
    <col min="10" max="13" width="4.46484375" customWidth="1"/>
    <col min="14" max="14" width="4.46484375" style="2" customWidth="1"/>
    <col min="15" max="33" width="4.46484375" customWidth="1"/>
  </cols>
  <sheetData>
    <row r="1" spans="1:37" ht="15.4" customHeight="1" x14ac:dyDescent="0.45">
      <c r="B1" s="3">
        <v>2</v>
      </c>
      <c r="C1" s="3">
        <v>1</v>
      </c>
      <c r="D1" s="3">
        <v>1</v>
      </c>
      <c r="E1" s="3">
        <v>2</v>
      </c>
      <c r="F1" s="3">
        <v>2</v>
      </c>
      <c r="G1" s="3">
        <v>2</v>
      </c>
      <c r="H1">
        <f>SUM(B1:G1)</f>
        <v>10</v>
      </c>
    </row>
    <row r="2" spans="1:37" ht="15.4" customHeight="1" x14ac:dyDescent="0.45">
      <c r="B2" s="3" t="s">
        <v>27</v>
      </c>
      <c r="C2" s="3" t="s">
        <v>28</v>
      </c>
      <c r="D2" s="3" t="s">
        <v>29</v>
      </c>
      <c r="E2" s="3" t="s">
        <v>30</v>
      </c>
      <c r="F2" s="3" t="s">
        <v>26</v>
      </c>
      <c r="G2" s="3" t="s">
        <v>31</v>
      </c>
      <c r="J2">
        <v>1</v>
      </c>
      <c r="K2">
        <v>2</v>
      </c>
      <c r="L2">
        <v>3</v>
      </c>
      <c r="M2">
        <v>4</v>
      </c>
      <c r="N2" s="2">
        <v>5</v>
      </c>
      <c r="O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Y2">
        <v>13</v>
      </c>
      <c r="Z2">
        <v>14</v>
      </c>
      <c r="AA2">
        <v>15</v>
      </c>
      <c r="AB2">
        <v>16</v>
      </c>
      <c r="AC2">
        <v>17</v>
      </c>
      <c r="AD2">
        <v>18</v>
      </c>
      <c r="AE2">
        <v>19</v>
      </c>
      <c r="AF2">
        <v>20</v>
      </c>
      <c r="AG2">
        <v>21</v>
      </c>
    </row>
    <row r="3" spans="1:37" ht="15.4" customHeight="1" x14ac:dyDescent="0.45">
      <c r="A3" t="s">
        <v>0</v>
      </c>
      <c r="B3" s="3">
        <v>0</v>
      </c>
      <c r="C3" s="3">
        <v>1</v>
      </c>
      <c r="D3" s="3">
        <v>1</v>
      </c>
      <c r="E3" s="3">
        <v>2</v>
      </c>
      <c r="F3" s="3">
        <v>0</v>
      </c>
      <c r="G3" s="3">
        <v>1</v>
      </c>
      <c r="H3">
        <f t="shared" ref="H3:H27" si="0">SUM(B3:G3)</f>
        <v>5</v>
      </c>
      <c r="I3">
        <f>AK3</f>
        <v>5.9090909090909092</v>
      </c>
      <c r="J3">
        <v>2</v>
      </c>
      <c r="K3">
        <v>2</v>
      </c>
      <c r="L3">
        <v>2</v>
      </c>
      <c r="M3">
        <v>2</v>
      </c>
      <c r="N3" s="2">
        <v>0</v>
      </c>
      <c r="O3">
        <v>2</v>
      </c>
      <c r="P3">
        <v>0</v>
      </c>
      <c r="R3">
        <v>4</v>
      </c>
      <c r="S3">
        <v>0</v>
      </c>
      <c r="T3">
        <v>0</v>
      </c>
      <c r="U3">
        <v>4</v>
      </c>
      <c r="V3">
        <v>0</v>
      </c>
      <c r="W3">
        <v>0</v>
      </c>
      <c r="Y3">
        <v>4</v>
      </c>
      <c r="Z3">
        <v>0</v>
      </c>
      <c r="AA3">
        <v>0</v>
      </c>
      <c r="AB3">
        <v>0</v>
      </c>
      <c r="AC3">
        <v>4</v>
      </c>
      <c r="AD3">
        <v>0</v>
      </c>
      <c r="AE3">
        <v>0</v>
      </c>
      <c r="AF3">
        <v>0</v>
      </c>
      <c r="AG3">
        <v>0</v>
      </c>
      <c r="AI3">
        <f t="shared" ref="AI3:AI4" si="1">SUM(J3:AG3)</f>
        <v>26</v>
      </c>
      <c r="AJ3">
        <f t="shared" ref="AJ3:AJ4" si="2">4*22</f>
        <v>88</v>
      </c>
      <c r="AK3">
        <f t="shared" ref="AK3:AK4" si="3">20*AI3/AJ3</f>
        <v>5.9090909090909092</v>
      </c>
    </row>
    <row r="4" spans="1:37" ht="15.4" customHeight="1" x14ac:dyDescent="0.45">
      <c r="A4" t="s">
        <v>1</v>
      </c>
      <c r="B4" s="3">
        <v>2</v>
      </c>
      <c r="C4" s="3">
        <v>1</v>
      </c>
      <c r="D4" s="3">
        <v>1</v>
      </c>
      <c r="E4" s="3">
        <v>2</v>
      </c>
      <c r="F4" s="3">
        <v>2</v>
      </c>
      <c r="G4" s="3">
        <v>2</v>
      </c>
      <c r="H4">
        <f t="shared" si="0"/>
        <v>10</v>
      </c>
      <c r="I4">
        <f t="shared" ref="I4:I27" si="4">AK4</f>
        <v>15.454545454545455</v>
      </c>
      <c r="J4">
        <v>4</v>
      </c>
      <c r="K4">
        <v>4</v>
      </c>
      <c r="L4">
        <v>4</v>
      </c>
      <c r="M4">
        <v>4</v>
      </c>
      <c r="N4" s="2">
        <v>0</v>
      </c>
      <c r="O4">
        <v>4</v>
      </c>
      <c r="P4">
        <v>4</v>
      </c>
      <c r="R4">
        <v>0</v>
      </c>
      <c r="S4">
        <v>0</v>
      </c>
      <c r="T4">
        <v>0</v>
      </c>
      <c r="U4">
        <v>4</v>
      </c>
      <c r="V4">
        <v>4</v>
      </c>
      <c r="W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I4">
        <f t="shared" si="1"/>
        <v>68</v>
      </c>
      <c r="AJ4">
        <f t="shared" si="2"/>
        <v>88</v>
      </c>
      <c r="AK4">
        <f t="shared" si="3"/>
        <v>15.454545454545455</v>
      </c>
    </row>
    <row r="5" spans="1:37" ht="15.4" customHeight="1" x14ac:dyDescent="0.45">
      <c r="A5" t="s">
        <v>2</v>
      </c>
      <c r="B5" s="3">
        <v>1</v>
      </c>
      <c r="C5" s="3">
        <v>0</v>
      </c>
      <c r="D5" s="3">
        <v>1</v>
      </c>
      <c r="E5" s="3">
        <v>0</v>
      </c>
      <c r="F5" s="3">
        <v>2</v>
      </c>
      <c r="G5" s="3">
        <v>2</v>
      </c>
      <c r="H5">
        <f t="shared" si="0"/>
        <v>6</v>
      </c>
      <c r="I5">
        <f t="shared" si="4"/>
        <v>6.1363636363636367</v>
      </c>
      <c r="J5">
        <v>4</v>
      </c>
      <c r="K5">
        <v>4</v>
      </c>
      <c r="L5">
        <v>0</v>
      </c>
      <c r="M5">
        <v>0</v>
      </c>
      <c r="N5" s="2">
        <v>0</v>
      </c>
      <c r="O5">
        <v>0</v>
      </c>
      <c r="P5">
        <v>0</v>
      </c>
      <c r="R5">
        <v>4</v>
      </c>
      <c r="S5">
        <v>4</v>
      </c>
      <c r="T5">
        <v>0</v>
      </c>
      <c r="U5">
        <v>4</v>
      </c>
      <c r="V5">
        <v>2</v>
      </c>
      <c r="W5">
        <v>0</v>
      </c>
      <c r="Y5">
        <v>2</v>
      </c>
      <c r="Z5">
        <v>0</v>
      </c>
      <c r="AA5">
        <v>0</v>
      </c>
      <c r="AB5">
        <v>3</v>
      </c>
      <c r="AI5">
        <f>SUM(J5:AG5)</f>
        <v>27</v>
      </c>
      <c r="AJ5">
        <f>4*22</f>
        <v>88</v>
      </c>
      <c r="AK5">
        <f>20*AI5/AJ5</f>
        <v>6.1363636363636367</v>
      </c>
    </row>
    <row r="6" spans="1:37" ht="15.4" customHeight="1" x14ac:dyDescent="0.45">
      <c r="A6" t="s">
        <v>3</v>
      </c>
      <c r="B6" s="3">
        <v>2</v>
      </c>
      <c r="C6" s="3">
        <v>1</v>
      </c>
      <c r="D6" s="3">
        <v>1</v>
      </c>
      <c r="E6" s="3">
        <v>2</v>
      </c>
      <c r="F6" s="3">
        <v>2</v>
      </c>
      <c r="G6" s="3">
        <v>2</v>
      </c>
      <c r="H6">
        <f t="shared" si="0"/>
        <v>10</v>
      </c>
      <c r="I6">
        <f t="shared" si="4"/>
        <v>17.272727272727273</v>
      </c>
      <c r="J6">
        <v>4</v>
      </c>
      <c r="K6">
        <v>4</v>
      </c>
      <c r="L6">
        <v>4</v>
      </c>
      <c r="M6">
        <v>4</v>
      </c>
      <c r="N6" s="2">
        <v>4</v>
      </c>
      <c r="O6">
        <v>4</v>
      </c>
      <c r="P6">
        <v>4</v>
      </c>
      <c r="R6" s="1">
        <v>4</v>
      </c>
      <c r="S6" s="1">
        <v>4</v>
      </c>
      <c r="T6" s="1">
        <v>4</v>
      </c>
      <c r="U6" s="1">
        <v>4</v>
      </c>
      <c r="V6" s="1">
        <v>4</v>
      </c>
      <c r="W6">
        <v>4</v>
      </c>
      <c r="Y6">
        <v>4</v>
      </c>
      <c r="Z6">
        <v>4</v>
      </c>
      <c r="AA6">
        <v>4</v>
      </c>
      <c r="AB6">
        <v>4</v>
      </c>
      <c r="AC6">
        <v>0</v>
      </c>
      <c r="AD6">
        <v>4</v>
      </c>
      <c r="AE6">
        <v>4</v>
      </c>
      <c r="AF6">
        <v>0</v>
      </c>
      <c r="AG6">
        <v>0</v>
      </c>
      <c r="AI6">
        <f t="shared" ref="AI6:AI27" si="5">SUM(J6:AG6)</f>
        <v>76</v>
      </c>
      <c r="AJ6">
        <f t="shared" ref="AJ6:AJ27" si="6">4*22</f>
        <v>88</v>
      </c>
      <c r="AK6">
        <f t="shared" ref="AK6:AK27" si="7">20*AI6/AJ6</f>
        <v>17.272727272727273</v>
      </c>
    </row>
    <row r="7" spans="1:37" ht="15.4" customHeight="1" x14ac:dyDescent="0.45">
      <c r="A7" t="s">
        <v>4</v>
      </c>
      <c r="B7" s="3">
        <v>1</v>
      </c>
      <c r="C7" s="3">
        <v>1</v>
      </c>
      <c r="D7" s="3">
        <v>0</v>
      </c>
      <c r="E7" s="3">
        <v>2</v>
      </c>
      <c r="F7" s="3">
        <v>1</v>
      </c>
      <c r="G7" s="3">
        <v>2</v>
      </c>
      <c r="H7">
        <f t="shared" si="0"/>
        <v>7</v>
      </c>
      <c r="I7">
        <f t="shared" si="4"/>
        <v>10.454545454545455</v>
      </c>
      <c r="J7">
        <v>4</v>
      </c>
      <c r="K7">
        <v>0</v>
      </c>
      <c r="L7">
        <v>0</v>
      </c>
      <c r="M7">
        <v>0</v>
      </c>
      <c r="N7" s="2">
        <v>0</v>
      </c>
      <c r="O7">
        <v>4</v>
      </c>
      <c r="P7">
        <v>4</v>
      </c>
      <c r="R7">
        <v>0</v>
      </c>
      <c r="S7">
        <v>0</v>
      </c>
      <c r="T7">
        <v>0</v>
      </c>
      <c r="U7">
        <v>4</v>
      </c>
      <c r="V7">
        <v>4</v>
      </c>
      <c r="W7">
        <v>0</v>
      </c>
      <c r="Y7">
        <v>4</v>
      </c>
      <c r="Z7">
        <v>4</v>
      </c>
      <c r="AA7">
        <v>4</v>
      </c>
      <c r="AB7">
        <v>2</v>
      </c>
      <c r="AC7">
        <v>4</v>
      </c>
      <c r="AD7">
        <v>0</v>
      </c>
      <c r="AE7">
        <v>4</v>
      </c>
      <c r="AF7">
        <v>4</v>
      </c>
      <c r="AG7">
        <v>0</v>
      </c>
      <c r="AI7">
        <f t="shared" si="5"/>
        <v>46</v>
      </c>
      <c r="AJ7">
        <f t="shared" si="6"/>
        <v>88</v>
      </c>
      <c r="AK7">
        <f t="shared" si="7"/>
        <v>10.454545454545455</v>
      </c>
    </row>
    <row r="8" spans="1:37" ht="15.4" customHeight="1" x14ac:dyDescent="0.45">
      <c r="A8" t="s">
        <v>5</v>
      </c>
      <c r="B8" s="3">
        <v>1</v>
      </c>
      <c r="C8" s="3">
        <v>1</v>
      </c>
      <c r="D8" s="3">
        <v>1</v>
      </c>
      <c r="E8" s="3">
        <v>1</v>
      </c>
      <c r="F8" s="3">
        <v>2</v>
      </c>
      <c r="G8" s="3">
        <v>1</v>
      </c>
      <c r="H8">
        <f t="shared" si="0"/>
        <v>7</v>
      </c>
      <c r="I8">
        <f t="shared" si="4"/>
        <v>11.136363636363637</v>
      </c>
      <c r="J8">
        <v>4</v>
      </c>
      <c r="K8">
        <v>4</v>
      </c>
      <c r="L8">
        <v>4</v>
      </c>
      <c r="M8">
        <v>0</v>
      </c>
      <c r="N8" s="2">
        <v>4</v>
      </c>
      <c r="O8">
        <v>2</v>
      </c>
      <c r="P8">
        <v>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4</v>
      </c>
      <c r="Z8">
        <v>4</v>
      </c>
      <c r="AA8">
        <v>2</v>
      </c>
      <c r="AB8">
        <v>4</v>
      </c>
      <c r="AC8">
        <v>3</v>
      </c>
      <c r="AD8">
        <v>0</v>
      </c>
      <c r="AE8">
        <v>4</v>
      </c>
      <c r="AF8">
        <v>4</v>
      </c>
      <c r="AG8">
        <v>2</v>
      </c>
      <c r="AI8">
        <f t="shared" si="5"/>
        <v>49</v>
      </c>
      <c r="AJ8">
        <f t="shared" si="6"/>
        <v>88</v>
      </c>
      <c r="AK8">
        <f t="shared" si="7"/>
        <v>11.136363636363637</v>
      </c>
    </row>
    <row r="9" spans="1:37" ht="15.4" customHeight="1" x14ac:dyDescent="0.45">
      <c r="A9" t="s">
        <v>6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>
        <f t="shared" si="0"/>
        <v>6</v>
      </c>
      <c r="I9">
        <f t="shared" si="4"/>
        <v>7.2727272727272725</v>
      </c>
      <c r="J9">
        <v>4</v>
      </c>
      <c r="K9">
        <v>2</v>
      </c>
      <c r="L9">
        <v>4</v>
      </c>
      <c r="M9">
        <v>4</v>
      </c>
      <c r="N9" s="2">
        <v>4</v>
      </c>
      <c r="O9">
        <v>2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4</v>
      </c>
      <c r="Z9">
        <v>4</v>
      </c>
      <c r="AA9">
        <v>4</v>
      </c>
      <c r="AI9">
        <f t="shared" si="5"/>
        <v>32</v>
      </c>
      <c r="AJ9">
        <f t="shared" si="6"/>
        <v>88</v>
      </c>
      <c r="AK9">
        <f t="shared" si="7"/>
        <v>7.2727272727272725</v>
      </c>
    </row>
    <row r="10" spans="1:37" ht="15.4" customHeight="1" x14ac:dyDescent="0.45">
      <c r="A10" t="s">
        <v>7</v>
      </c>
      <c r="B10" s="3">
        <v>1</v>
      </c>
      <c r="C10" s="3">
        <v>1</v>
      </c>
      <c r="D10" s="3">
        <v>0</v>
      </c>
      <c r="E10" s="3">
        <v>1</v>
      </c>
      <c r="F10" s="3">
        <v>1</v>
      </c>
      <c r="G10" s="3">
        <v>1</v>
      </c>
      <c r="H10">
        <f t="shared" si="0"/>
        <v>5</v>
      </c>
      <c r="I10">
        <f t="shared" si="4"/>
        <v>8.1818181818181817</v>
      </c>
      <c r="J10">
        <v>2</v>
      </c>
      <c r="K10">
        <v>2</v>
      </c>
      <c r="L10">
        <v>0</v>
      </c>
      <c r="M10">
        <v>0</v>
      </c>
      <c r="N10" s="2">
        <v>0</v>
      </c>
      <c r="O10">
        <v>0</v>
      </c>
      <c r="P10">
        <v>0</v>
      </c>
      <c r="R10">
        <v>4</v>
      </c>
      <c r="S10">
        <v>0</v>
      </c>
      <c r="T10">
        <v>0</v>
      </c>
      <c r="U10">
        <v>4</v>
      </c>
      <c r="V10">
        <v>4</v>
      </c>
      <c r="W10">
        <v>0</v>
      </c>
      <c r="Y10">
        <v>4</v>
      </c>
      <c r="Z10">
        <v>4</v>
      </c>
      <c r="AA10">
        <v>4</v>
      </c>
      <c r="AB10">
        <v>2</v>
      </c>
      <c r="AC10">
        <v>2</v>
      </c>
      <c r="AD10">
        <v>4</v>
      </c>
      <c r="AI10">
        <f t="shared" si="5"/>
        <v>36</v>
      </c>
      <c r="AJ10">
        <f t="shared" si="6"/>
        <v>88</v>
      </c>
      <c r="AK10">
        <f t="shared" si="7"/>
        <v>8.1818181818181817</v>
      </c>
    </row>
    <row r="11" spans="1:37" ht="15.4" customHeight="1" x14ac:dyDescent="0.45">
      <c r="A11" t="s">
        <v>8</v>
      </c>
      <c r="B11" s="3">
        <v>0</v>
      </c>
      <c r="C11" s="3">
        <v>1</v>
      </c>
      <c r="D11" s="3">
        <v>0</v>
      </c>
      <c r="E11" s="3">
        <v>0</v>
      </c>
      <c r="F11" s="3">
        <v>0</v>
      </c>
      <c r="G11" s="3">
        <v>1</v>
      </c>
      <c r="H11">
        <f t="shared" si="0"/>
        <v>2</v>
      </c>
      <c r="I11">
        <f t="shared" si="4"/>
        <v>0.90909090909090906</v>
      </c>
      <c r="U11">
        <v>4</v>
      </c>
      <c r="AI11">
        <f t="shared" si="5"/>
        <v>4</v>
      </c>
      <c r="AJ11">
        <f t="shared" si="6"/>
        <v>88</v>
      </c>
      <c r="AK11">
        <f t="shared" si="7"/>
        <v>0.90909090909090906</v>
      </c>
    </row>
    <row r="12" spans="1:37" ht="15.4" customHeight="1" x14ac:dyDescent="0.45">
      <c r="A12" t="s">
        <v>9</v>
      </c>
      <c r="H12" t="s">
        <v>32</v>
      </c>
      <c r="I12">
        <f t="shared" si="4"/>
        <v>0</v>
      </c>
      <c r="AI12">
        <f t="shared" si="5"/>
        <v>0</v>
      </c>
      <c r="AJ12">
        <f t="shared" si="6"/>
        <v>88</v>
      </c>
      <c r="AK12">
        <f t="shared" si="7"/>
        <v>0</v>
      </c>
    </row>
    <row r="13" spans="1:37" ht="15.4" customHeight="1" x14ac:dyDescent="0.45">
      <c r="A13" t="s">
        <v>10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2</v>
      </c>
      <c r="H13">
        <f t="shared" si="0"/>
        <v>7</v>
      </c>
      <c r="I13">
        <f t="shared" si="4"/>
        <v>5.2272727272727275</v>
      </c>
      <c r="J13">
        <v>4</v>
      </c>
      <c r="K13">
        <v>0</v>
      </c>
      <c r="L13">
        <v>0</v>
      </c>
      <c r="M13">
        <v>0</v>
      </c>
      <c r="N13" s="2">
        <v>0</v>
      </c>
      <c r="O13">
        <v>0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4</v>
      </c>
      <c r="Z13">
        <v>4</v>
      </c>
      <c r="AA13">
        <v>4</v>
      </c>
      <c r="AB13">
        <v>0</v>
      </c>
      <c r="AC13">
        <v>3</v>
      </c>
      <c r="AD13">
        <v>0</v>
      </c>
      <c r="AE13">
        <v>4</v>
      </c>
      <c r="AF13">
        <v>0</v>
      </c>
      <c r="AI13">
        <f t="shared" si="5"/>
        <v>23</v>
      </c>
      <c r="AJ13">
        <f t="shared" si="6"/>
        <v>88</v>
      </c>
      <c r="AK13">
        <f t="shared" si="7"/>
        <v>5.2272727272727275</v>
      </c>
    </row>
    <row r="14" spans="1:37" ht="15.4" customHeight="1" x14ac:dyDescent="0.45">
      <c r="A14" t="s">
        <v>11</v>
      </c>
      <c r="B14" s="3">
        <v>1</v>
      </c>
      <c r="C14" s="3">
        <v>1</v>
      </c>
      <c r="D14" s="3">
        <v>0</v>
      </c>
      <c r="E14" s="3">
        <v>1</v>
      </c>
      <c r="F14" s="3">
        <v>1</v>
      </c>
      <c r="G14" s="3">
        <v>1</v>
      </c>
      <c r="H14">
        <f t="shared" si="0"/>
        <v>5</v>
      </c>
      <c r="I14">
        <f t="shared" si="4"/>
        <v>2.2727272727272729</v>
      </c>
      <c r="J14">
        <v>2</v>
      </c>
      <c r="K14">
        <v>0</v>
      </c>
      <c r="L14">
        <v>0</v>
      </c>
      <c r="M14">
        <v>0</v>
      </c>
      <c r="N14" s="2">
        <v>0</v>
      </c>
      <c r="O14">
        <v>0</v>
      </c>
      <c r="P14">
        <v>0</v>
      </c>
      <c r="Y14">
        <v>4</v>
      </c>
      <c r="Z14">
        <v>4</v>
      </c>
      <c r="AA14">
        <v>0</v>
      </c>
      <c r="AB14">
        <v>0</v>
      </c>
      <c r="AI14">
        <f t="shared" si="5"/>
        <v>10</v>
      </c>
      <c r="AJ14">
        <f t="shared" si="6"/>
        <v>88</v>
      </c>
      <c r="AK14">
        <f t="shared" si="7"/>
        <v>2.2727272727272729</v>
      </c>
    </row>
    <row r="15" spans="1:37" ht="15.4" customHeight="1" x14ac:dyDescent="0.45">
      <c r="A15" t="s">
        <v>12</v>
      </c>
      <c r="B15" s="3">
        <v>1</v>
      </c>
      <c r="C15" s="3">
        <v>0</v>
      </c>
      <c r="D15" s="3">
        <v>0</v>
      </c>
      <c r="E15" s="3">
        <v>1</v>
      </c>
      <c r="F15" s="3">
        <v>1</v>
      </c>
      <c r="G15" s="3">
        <v>0</v>
      </c>
      <c r="H15">
        <f t="shared" si="0"/>
        <v>3</v>
      </c>
      <c r="I15">
        <f t="shared" si="4"/>
        <v>1.8181818181818181</v>
      </c>
      <c r="J15">
        <v>2</v>
      </c>
      <c r="K15">
        <v>2</v>
      </c>
      <c r="L15">
        <v>0</v>
      </c>
      <c r="M15">
        <v>0</v>
      </c>
      <c r="N15" s="2">
        <v>0</v>
      </c>
      <c r="O15">
        <v>2</v>
      </c>
      <c r="P15">
        <v>0</v>
      </c>
      <c r="R15">
        <v>0</v>
      </c>
      <c r="S15">
        <v>0</v>
      </c>
      <c r="T15">
        <v>0</v>
      </c>
      <c r="U15">
        <v>0</v>
      </c>
      <c r="V15">
        <v>2</v>
      </c>
      <c r="W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I15">
        <f t="shared" si="5"/>
        <v>8</v>
      </c>
      <c r="AJ15">
        <f t="shared" si="6"/>
        <v>88</v>
      </c>
      <c r="AK15">
        <f t="shared" si="7"/>
        <v>1.8181818181818181</v>
      </c>
    </row>
    <row r="16" spans="1:37" ht="15.4" customHeight="1" x14ac:dyDescent="0.45">
      <c r="A16" t="s">
        <v>13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2</v>
      </c>
      <c r="H16">
        <f t="shared" si="0"/>
        <v>7</v>
      </c>
      <c r="I16">
        <f t="shared" si="4"/>
        <v>11.363636363636363</v>
      </c>
      <c r="J16">
        <v>4</v>
      </c>
      <c r="K16">
        <v>0</v>
      </c>
      <c r="L16">
        <v>0</v>
      </c>
      <c r="M16">
        <v>0</v>
      </c>
      <c r="N16" s="2">
        <v>4</v>
      </c>
      <c r="O16">
        <v>4</v>
      </c>
      <c r="P16">
        <v>4</v>
      </c>
      <c r="R16">
        <v>4</v>
      </c>
      <c r="S16">
        <v>4</v>
      </c>
      <c r="T16">
        <v>4</v>
      </c>
      <c r="U16">
        <v>4</v>
      </c>
      <c r="V16">
        <v>0</v>
      </c>
      <c r="W16">
        <v>4</v>
      </c>
      <c r="Y16">
        <v>4</v>
      </c>
      <c r="Z16">
        <v>4</v>
      </c>
      <c r="AA16">
        <v>4</v>
      </c>
      <c r="AB16">
        <v>2</v>
      </c>
      <c r="AI16">
        <f t="shared" si="5"/>
        <v>50</v>
      </c>
      <c r="AJ16">
        <f t="shared" si="6"/>
        <v>88</v>
      </c>
      <c r="AK16">
        <f t="shared" si="7"/>
        <v>11.363636363636363</v>
      </c>
    </row>
    <row r="17" spans="1:37" ht="15.4" customHeight="1" x14ac:dyDescent="0.45">
      <c r="A17" t="s">
        <v>14</v>
      </c>
      <c r="B17" s="3">
        <v>2</v>
      </c>
      <c r="C17" s="3">
        <v>1</v>
      </c>
      <c r="D17" s="3">
        <v>1</v>
      </c>
      <c r="E17" s="3">
        <v>2</v>
      </c>
      <c r="F17" s="3">
        <v>2</v>
      </c>
      <c r="G17" s="3">
        <v>2</v>
      </c>
      <c r="H17">
        <f t="shared" si="0"/>
        <v>10</v>
      </c>
      <c r="I17">
        <f t="shared" si="4"/>
        <v>16.363636363636363</v>
      </c>
      <c r="J17">
        <v>4</v>
      </c>
      <c r="K17">
        <v>4</v>
      </c>
      <c r="L17">
        <v>4</v>
      </c>
      <c r="M17">
        <v>0</v>
      </c>
      <c r="N17" s="2">
        <v>0</v>
      </c>
      <c r="O17">
        <v>2</v>
      </c>
      <c r="P17">
        <v>0</v>
      </c>
      <c r="R17">
        <v>4</v>
      </c>
      <c r="S17">
        <v>4</v>
      </c>
      <c r="T17">
        <v>4</v>
      </c>
      <c r="U17">
        <v>4</v>
      </c>
      <c r="V17">
        <v>4</v>
      </c>
      <c r="W17">
        <v>0</v>
      </c>
      <c r="Y17">
        <v>4</v>
      </c>
      <c r="Z17">
        <v>4</v>
      </c>
      <c r="AA17">
        <v>4</v>
      </c>
      <c r="AB17">
        <v>2</v>
      </c>
      <c r="AC17">
        <v>4</v>
      </c>
      <c r="AD17">
        <v>4</v>
      </c>
      <c r="AE17">
        <v>4</v>
      </c>
      <c r="AF17">
        <v>4</v>
      </c>
      <c r="AG17">
        <v>8</v>
      </c>
      <c r="AI17">
        <f t="shared" si="5"/>
        <v>72</v>
      </c>
      <c r="AJ17">
        <f t="shared" si="6"/>
        <v>88</v>
      </c>
      <c r="AK17">
        <f t="shared" si="7"/>
        <v>16.363636363636363</v>
      </c>
    </row>
    <row r="18" spans="1:37" ht="15.4" customHeight="1" x14ac:dyDescent="0.45">
      <c r="A18" t="s">
        <v>15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2</v>
      </c>
      <c r="H18">
        <f t="shared" si="0"/>
        <v>7</v>
      </c>
      <c r="I18">
        <f t="shared" si="4"/>
        <v>9.0909090909090917</v>
      </c>
      <c r="J18">
        <v>4</v>
      </c>
      <c r="K18">
        <v>0</v>
      </c>
      <c r="L18">
        <v>0</v>
      </c>
      <c r="M18">
        <v>0</v>
      </c>
      <c r="N18" s="2">
        <v>0</v>
      </c>
      <c r="O18">
        <v>2</v>
      </c>
      <c r="P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0</v>
      </c>
      <c r="Y18">
        <v>4</v>
      </c>
      <c r="Z18">
        <v>4</v>
      </c>
      <c r="AA18">
        <v>4</v>
      </c>
      <c r="AB18">
        <v>4</v>
      </c>
      <c r="AC18">
        <v>2</v>
      </c>
      <c r="AD18">
        <v>4</v>
      </c>
      <c r="AE18">
        <v>4</v>
      </c>
      <c r="AF18">
        <v>4</v>
      </c>
      <c r="AG18">
        <v>0</v>
      </c>
      <c r="AI18">
        <f t="shared" si="5"/>
        <v>40</v>
      </c>
      <c r="AJ18">
        <f t="shared" si="6"/>
        <v>88</v>
      </c>
      <c r="AK18">
        <f t="shared" si="7"/>
        <v>9.0909090909090917</v>
      </c>
    </row>
    <row r="19" spans="1:37" ht="15.4" customHeight="1" x14ac:dyDescent="0.45">
      <c r="A19" t="s">
        <v>16</v>
      </c>
      <c r="B19" s="3">
        <v>1</v>
      </c>
      <c r="C19" s="3">
        <v>1</v>
      </c>
      <c r="D19" s="3">
        <v>1</v>
      </c>
      <c r="E19" s="3">
        <v>2</v>
      </c>
      <c r="F19" s="3">
        <v>2</v>
      </c>
      <c r="G19" s="3">
        <v>2</v>
      </c>
      <c r="H19">
        <f t="shared" si="0"/>
        <v>9</v>
      </c>
      <c r="I19">
        <f t="shared" si="4"/>
        <v>14.545454545454545</v>
      </c>
      <c r="J19">
        <v>4</v>
      </c>
      <c r="K19">
        <v>4</v>
      </c>
      <c r="L19">
        <v>4</v>
      </c>
      <c r="M19">
        <v>4</v>
      </c>
      <c r="N19" s="2">
        <v>0</v>
      </c>
      <c r="O19">
        <v>0</v>
      </c>
      <c r="P19">
        <v>0</v>
      </c>
      <c r="R19">
        <v>4</v>
      </c>
      <c r="S19">
        <v>4</v>
      </c>
      <c r="T19">
        <v>0</v>
      </c>
      <c r="U19">
        <v>4</v>
      </c>
      <c r="V19">
        <v>4</v>
      </c>
      <c r="W19">
        <v>0</v>
      </c>
      <c r="Y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0</v>
      </c>
      <c r="AG19">
        <v>4</v>
      </c>
      <c r="AI19">
        <f t="shared" si="5"/>
        <v>64</v>
      </c>
      <c r="AJ19">
        <f t="shared" si="6"/>
        <v>88</v>
      </c>
      <c r="AK19">
        <f t="shared" si="7"/>
        <v>14.545454545454545</v>
      </c>
    </row>
    <row r="20" spans="1:37" ht="15.4" customHeight="1" x14ac:dyDescent="0.45">
      <c r="A20" t="s">
        <v>17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2</v>
      </c>
      <c r="H20">
        <f t="shared" si="0"/>
        <v>7</v>
      </c>
      <c r="I20">
        <f t="shared" si="4"/>
        <v>10.909090909090908</v>
      </c>
      <c r="J20">
        <v>4</v>
      </c>
      <c r="K20">
        <v>4</v>
      </c>
      <c r="L20">
        <v>4</v>
      </c>
      <c r="M20">
        <v>0</v>
      </c>
      <c r="N20" s="2">
        <v>0</v>
      </c>
      <c r="O20">
        <v>4</v>
      </c>
      <c r="P20">
        <v>4</v>
      </c>
      <c r="R20">
        <v>2</v>
      </c>
      <c r="S20">
        <v>0</v>
      </c>
      <c r="T20">
        <v>0</v>
      </c>
      <c r="U20">
        <v>4</v>
      </c>
      <c r="V20">
        <v>4</v>
      </c>
      <c r="W20">
        <v>0</v>
      </c>
      <c r="Y20">
        <v>4</v>
      </c>
      <c r="Z20">
        <v>4</v>
      </c>
      <c r="AA20">
        <v>4</v>
      </c>
      <c r="AB20">
        <v>4</v>
      </c>
      <c r="AC20">
        <v>2</v>
      </c>
      <c r="AI20">
        <f t="shared" si="5"/>
        <v>48</v>
      </c>
      <c r="AJ20">
        <f t="shared" si="6"/>
        <v>88</v>
      </c>
      <c r="AK20">
        <f t="shared" si="7"/>
        <v>10.909090909090908</v>
      </c>
    </row>
    <row r="21" spans="1:37" ht="15.4" customHeight="1" x14ac:dyDescent="0.45">
      <c r="A21" t="s">
        <v>18</v>
      </c>
      <c r="B21" s="3">
        <v>1</v>
      </c>
      <c r="C21" s="3">
        <v>1</v>
      </c>
      <c r="D21" s="3">
        <v>0</v>
      </c>
      <c r="E21" s="3">
        <v>1</v>
      </c>
      <c r="F21" s="3">
        <v>2</v>
      </c>
      <c r="G21" s="3">
        <v>1</v>
      </c>
      <c r="H21">
        <f t="shared" si="0"/>
        <v>6</v>
      </c>
      <c r="I21">
        <f t="shared" si="4"/>
        <v>6.8181818181818183</v>
      </c>
      <c r="J21">
        <v>4</v>
      </c>
      <c r="K21">
        <v>4</v>
      </c>
      <c r="L21">
        <v>0</v>
      </c>
      <c r="M21">
        <v>0</v>
      </c>
      <c r="N21" s="2">
        <v>0</v>
      </c>
      <c r="O21">
        <v>0</v>
      </c>
      <c r="P21">
        <v>0</v>
      </c>
      <c r="R21">
        <v>4</v>
      </c>
      <c r="S21">
        <v>4</v>
      </c>
      <c r="T21">
        <v>0</v>
      </c>
      <c r="U21">
        <v>0</v>
      </c>
      <c r="V21">
        <v>4</v>
      </c>
      <c r="W21">
        <v>0</v>
      </c>
      <c r="Y21">
        <v>4</v>
      </c>
      <c r="Z21">
        <v>4</v>
      </c>
      <c r="AA21">
        <v>0</v>
      </c>
      <c r="AB21">
        <v>0</v>
      </c>
      <c r="AC21">
        <v>2</v>
      </c>
      <c r="AI21">
        <f t="shared" si="5"/>
        <v>30</v>
      </c>
      <c r="AJ21">
        <f t="shared" si="6"/>
        <v>88</v>
      </c>
      <c r="AK21">
        <f t="shared" si="7"/>
        <v>6.8181818181818183</v>
      </c>
    </row>
    <row r="22" spans="1:37" ht="15.4" customHeight="1" x14ac:dyDescent="0.45">
      <c r="A22" t="s">
        <v>19</v>
      </c>
      <c r="B22" s="3">
        <v>1</v>
      </c>
      <c r="C22" s="3">
        <v>1</v>
      </c>
      <c r="D22" s="3">
        <v>0</v>
      </c>
      <c r="E22" s="3">
        <v>1</v>
      </c>
      <c r="F22" s="3">
        <v>1</v>
      </c>
      <c r="G22" s="3">
        <v>0</v>
      </c>
      <c r="H22">
        <f t="shared" si="0"/>
        <v>4</v>
      </c>
      <c r="I22">
        <f t="shared" si="4"/>
        <v>5</v>
      </c>
      <c r="J22">
        <v>4</v>
      </c>
      <c r="K22">
        <v>2</v>
      </c>
      <c r="L22">
        <v>0</v>
      </c>
      <c r="M22">
        <v>0</v>
      </c>
      <c r="N22" s="2">
        <v>0</v>
      </c>
      <c r="O22">
        <v>4</v>
      </c>
      <c r="P22">
        <v>4</v>
      </c>
      <c r="R22">
        <v>0</v>
      </c>
      <c r="S22">
        <v>0</v>
      </c>
      <c r="T22">
        <v>0</v>
      </c>
      <c r="U22">
        <v>4</v>
      </c>
      <c r="V22">
        <v>0</v>
      </c>
      <c r="W22">
        <v>0</v>
      </c>
      <c r="Y22">
        <v>4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f>SUM(J22:AH22)</f>
        <v>22</v>
      </c>
      <c r="AJ22">
        <f t="shared" si="6"/>
        <v>88</v>
      </c>
      <c r="AK22">
        <f t="shared" si="7"/>
        <v>5</v>
      </c>
    </row>
    <row r="23" spans="1:37" ht="15.4" customHeight="1" x14ac:dyDescent="0.45">
      <c r="A23" t="s">
        <v>20</v>
      </c>
      <c r="B23" s="3">
        <v>1</v>
      </c>
      <c r="C23" s="3">
        <v>1</v>
      </c>
      <c r="D23" s="3">
        <v>0</v>
      </c>
      <c r="E23" s="3">
        <v>1</v>
      </c>
      <c r="F23" s="3">
        <v>1</v>
      </c>
      <c r="G23" s="3">
        <v>1</v>
      </c>
      <c r="H23">
        <f t="shared" si="0"/>
        <v>5</v>
      </c>
      <c r="I23">
        <f t="shared" si="4"/>
        <v>9.0909090909090917</v>
      </c>
      <c r="J23">
        <v>4</v>
      </c>
      <c r="K23">
        <v>2</v>
      </c>
      <c r="L23">
        <v>0</v>
      </c>
      <c r="M23">
        <v>0</v>
      </c>
      <c r="N23" s="2">
        <v>0</v>
      </c>
      <c r="O23">
        <v>0</v>
      </c>
      <c r="P23">
        <v>0</v>
      </c>
      <c r="R23">
        <v>4</v>
      </c>
      <c r="S23">
        <v>0</v>
      </c>
      <c r="T23">
        <v>0</v>
      </c>
      <c r="U23">
        <v>0</v>
      </c>
      <c r="V23">
        <v>0</v>
      </c>
      <c r="W23">
        <v>0</v>
      </c>
      <c r="Y23">
        <v>4</v>
      </c>
      <c r="Z23">
        <v>4</v>
      </c>
      <c r="AA23">
        <v>4</v>
      </c>
      <c r="AB23">
        <v>4</v>
      </c>
      <c r="AC23">
        <v>2</v>
      </c>
      <c r="AD23">
        <v>4</v>
      </c>
      <c r="AE23">
        <v>4</v>
      </c>
      <c r="AF23">
        <v>4</v>
      </c>
      <c r="AI23">
        <f t="shared" si="5"/>
        <v>40</v>
      </c>
      <c r="AJ23">
        <f t="shared" si="6"/>
        <v>88</v>
      </c>
      <c r="AK23">
        <f t="shared" si="7"/>
        <v>9.0909090909090917</v>
      </c>
    </row>
    <row r="24" spans="1:37" ht="15.4" customHeight="1" x14ac:dyDescent="0.45">
      <c r="A24" t="s">
        <v>21</v>
      </c>
      <c r="B24" s="3">
        <v>0</v>
      </c>
      <c r="C24" s="3">
        <v>1</v>
      </c>
      <c r="D24" s="3">
        <v>0</v>
      </c>
      <c r="E24" s="3">
        <v>1</v>
      </c>
      <c r="F24" s="3">
        <v>1</v>
      </c>
      <c r="G24" s="3">
        <v>0</v>
      </c>
      <c r="H24">
        <f t="shared" si="0"/>
        <v>3</v>
      </c>
      <c r="I24">
        <f t="shared" si="4"/>
        <v>3.1818181818181817</v>
      </c>
      <c r="J24">
        <v>0</v>
      </c>
      <c r="K24">
        <v>0</v>
      </c>
      <c r="L24">
        <v>0</v>
      </c>
      <c r="M24">
        <v>0</v>
      </c>
      <c r="N24" s="2">
        <v>0</v>
      </c>
      <c r="O24">
        <v>0</v>
      </c>
      <c r="P24">
        <v>0</v>
      </c>
      <c r="R24">
        <v>0</v>
      </c>
      <c r="S24">
        <v>4</v>
      </c>
      <c r="T24">
        <v>0</v>
      </c>
      <c r="U24">
        <v>0</v>
      </c>
      <c r="V24">
        <v>0</v>
      </c>
      <c r="W24">
        <v>0</v>
      </c>
      <c r="Y24">
        <v>4</v>
      </c>
      <c r="Z24">
        <v>4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0</v>
      </c>
      <c r="AI24">
        <f t="shared" si="5"/>
        <v>14</v>
      </c>
      <c r="AJ24">
        <f t="shared" si="6"/>
        <v>88</v>
      </c>
      <c r="AK24">
        <f t="shared" si="7"/>
        <v>3.1818181818181817</v>
      </c>
    </row>
    <row r="25" spans="1:37" ht="15.4" customHeight="1" x14ac:dyDescent="0.45">
      <c r="A25" t="s">
        <v>22</v>
      </c>
      <c r="B25" s="3">
        <v>1</v>
      </c>
      <c r="C25" s="3">
        <v>1</v>
      </c>
      <c r="D25" s="3">
        <v>1</v>
      </c>
      <c r="E25" s="3">
        <v>2</v>
      </c>
      <c r="F25" s="3">
        <v>1</v>
      </c>
      <c r="G25" s="3">
        <v>1</v>
      </c>
      <c r="H25">
        <f t="shared" si="0"/>
        <v>7</v>
      </c>
      <c r="I25">
        <f t="shared" si="4"/>
        <v>10</v>
      </c>
      <c r="J25">
        <v>4</v>
      </c>
      <c r="K25">
        <v>3</v>
      </c>
      <c r="L25">
        <v>0</v>
      </c>
      <c r="M25">
        <v>0</v>
      </c>
      <c r="N25" s="2">
        <v>0</v>
      </c>
      <c r="O25">
        <v>0</v>
      </c>
      <c r="P25">
        <v>0</v>
      </c>
      <c r="R25">
        <v>4</v>
      </c>
      <c r="S25">
        <v>2</v>
      </c>
      <c r="T25">
        <v>0</v>
      </c>
      <c r="U25">
        <v>4</v>
      </c>
      <c r="V25">
        <v>2</v>
      </c>
      <c r="W25">
        <v>2</v>
      </c>
      <c r="Y25">
        <v>4</v>
      </c>
      <c r="Z25">
        <v>4</v>
      </c>
      <c r="AA25">
        <v>4</v>
      </c>
      <c r="AB25">
        <v>0</v>
      </c>
      <c r="AC25">
        <v>3</v>
      </c>
      <c r="AD25">
        <v>4</v>
      </c>
      <c r="AE25">
        <v>4</v>
      </c>
      <c r="AF25">
        <v>0</v>
      </c>
      <c r="AI25">
        <f t="shared" si="5"/>
        <v>44</v>
      </c>
      <c r="AJ25">
        <f t="shared" si="6"/>
        <v>88</v>
      </c>
      <c r="AK25">
        <f t="shared" si="7"/>
        <v>10</v>
      </c>
    </row>
    <row r="26" spans="1:37" ht="15.4" customHeight="1" x14ac:dyDescent="0.45">
      <c r="A26" t="s">
        <v>23</v>
      </c>
      <c r="B26" s="3">
        <v>1</v>
      </c>
      <c r="C26" s="3">
        <v>1</v>
      </c>
      <c r="D26" s="3">
        <v>1</v>
      </c>
      <c r="E26" s="3">
        <v>2</v>
      </c>
      <c r="F26" s="3">
        <v>0</v>
      </c>
      <c r="G26" s="3">
        <v>2</v>
      </c>
      <c r="H26">
        <f t="shared" si="0"/>
        <v>7</v>
      </c>
      <c r="I26">
        <f t="shared" si="4"/>
        <v>10</v>
      </c>
      <c r="J26">
        <v>4</v>
      </c>
      <c r="K26">
        <v>2</v>
      </c>
      <c r="L26">
        <v>4</v>
      </c>
      <c r="M26">
        <v>4</v>
      </c>
      <c r="N26" s="2">
        <v>0</v>
      </c>
      <c r="O26">
        <v>4</v>
      </c>
      <c r="P26">
        <v>0</v>
      </c>
      <c r="R26">
        <v>0</v>
      </c>
      <c r="S26">
        <v>0</v>
      </c>
      <c r="T26">
        <v>0</v>
      </c>
      <c r="U26">
        <v>2</v>
      </c>
      <c r="V26">
        <v>4</v>
      </c>
      <c r="W26">
        <v>4</v>
      </c>
      <c r="Y26">
        <v>4</v>
      </c>
      <c r="Z26">
        <v>0</v>
      </c>
      <c r="AA26">
        <v>0</v>
      </c>
      <c r="AB26">
        <v>0</v>
      </c>
      <c r="AC26">
        <v>4</v>
      </c>
      <c r="AD26">
        <v>4</v>
      </c>
      <c r="AE26">
        <v>4</v>
      </c>
      <c r="AI26">
        <f t="shared" si="5"/>
        <v>44</v>
      </c>
      <c r="AJ26">
        <f t="shared" si="6"/>
        <v>88</v>
      </c>
      <c r="AK26">
        <f t="shared" si="7"/>
        <v>10</v>
      </c>
    </row>
    <row r="27" spans="1:37" ht="15.4" customHeight="1" x14ac:dyDescent="0.45">
      <c r="A27" t="s">
        <v>24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>
        <f t="shared" si="0"/>
        <v>6</v>
      </c>
      <c r="I27">
        <f t="shared" si="4"/>
        <v>10.454545454545455</v>
      </c>
      <c r="J27">
        <v>4</v>
      </c>
      <c r="K27">
        <v>0</v>
      </c>
      <c r="L27">
        <v>0</v>
      </c>
      <c r="M27">
        <v>0</v>
      </c>
      <c r="N27" s="2">
        <v>0</v>
      </c>
      <c r="O27">
        <v>0</v>
      </c>
      <c r="P27">
        <v>0</v>
      </c>
      <c r="R27">
        <v>4</v>
      </c>
      <c r="S27">
        <v>4</v>
      </c>
      <c r="T27">
        <v>4</v>
      </c>
      <c r="U27">
        <v>4</v>
      </c>
      <c r="V27">
        <v>4</v>
      </c>
      <c r="W27">
        <v>4</v>
      </c>
      <c r="Y27">
        <v>4</v>
      </c>
      <c r="Z27">
        <v>4</v>
      </c>
      <c r="AA27">
        <v>4</v>
      </c>
      <c r="AB27">
        <v>4</v>
      </c>
      <c r="AC27">
        <v>2</v>
      </c>
      <c r="AI27">
        <f t="shared" si="5"/>
        <v>46</v>
      </c>
      <c r="AJ27">
        <f t="shared" si="6"/>
        <v>88</v>
      </c>
      <c r="AK27">
        <f t="shared" si="7"/>
        <v>10.454545454545455</v>
      </c>
    </row>
    <row r="30" spans="1:37" ht="15.4" customHeight="1" x14ac:dyDescent="0.45">
      <c r="H30">
        <f>AVERAGE(H3:H27)</f>
        <v>6.291666666666667</v>
      </c>
      <c r="I30">
        <f>AVERAGE(I3:I27)</f>
        <v>8.3545454545454536</v>
      </c>
      <c r="J30" t="s">
        <v>26</v>
      </c>
      <c r="R30" t="s">
        <v>25</v>
      </c>
      <c r="U3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8AD1-A3DD-4C90-814F-DEF3882FA6BE}">
  <dimension ref="A7:A31"/>
  <sheetViews>
    <sheetView workbookViewId="0">
      <selection activeCell="A7" sqref="A7:A31"/>
    </sheetView>
  </sheetViews>
  <sheetFormatPr baseColWidth="10" defaultRowHeight="14.25" x14ac:dyDescent="0.45"/>
  <sheetData>
    <row r="7" spans="1:1" x14ac:dyDescent="0.45">
      <c r="A7" t="s">
        <v>0</v>
      </c>
    </row>
    <row r="8" spans="1:1" x14ac:dyDescent="0.45">
      <c r="A8" t="s">
        <v>1</v>
      </c>
    </row>
    <row r="9" spans="1:1" x14ac:dyDescent="0.45">
      <c r="A9" t="s">
        <v>2</v>
      </c>
    </row>
    <row r="10" spans="1:1" x14ac:dyDescent="0.45">
      <c r="A10" t="s">
        <v>3</v>
      </c>
    </row>
    <row r="11" spans="1:1" x14ac:dyDescent="0.45">
      <c r="A11" t="s">
        <v>4</v>
      </c>
    </row>
    <row r="12" spans="1:1" x14ac:dyDescent="0.45">
      <c r="A12" t="s">
        <v>5</v>
      </c>
    </row>
    <row r="13" spans="1:1" x14ac:dyDescent="0.45">
      <c r="A13" t="s">
        <v>6</v>
      </c>
    </row>
    <row r="14" spans="1:1" x14ac:dyDescent="0.45">
      <c r="A14" t="s">
        <v>7</v>
      </c>
    </row>
    <row r="15" spans="1:1" x14ac:dyDescent="0.45">
      <c r="A15" t="s">
        <v>8</v>
      </c>
    </row>
    <row r="16" spans="1:1" x14ac:dyDescent="0.45">
      <c r="A16" t="s">
        <v>9</v>
      </c>
    </row>
    <row r="17" spans="1:1" x14ac:dyDescent="0.45">
      <c r="A17" t="s">
        <v>10</v>
      </c>
    </row>
    <row r="18" spans="1:1" x14ac:dyDescent="0.45">
      <c r="A18" t="s">
        <v>11</v>
      </c>
    </row>
    <row r="19" spans="1:1" x14ac:dyDescent="0.45">
      <c r="A19" t="s">
        <v>12</v>
      </c>
    </row>
    <row r="20" spans="1:1" x14ac:dyDescent="0.45">
      <c r="A20" t="s">
        <v>13</v>
      </c>
    </row>
    <row r="21" spans="1:1" x14ac:dyDescent="0.45">
      <c r="A21" t="s">
        <v>14</v>
      </c>
    </row>
    <row r="22" spans="1:1" x14ac:dyDescent="0.45">
      <c r="A22" t="s">
        <v>15</v>
      </c>
    </row>
    <row r="23" spans="1:1" x14ac:dyDescent="0.45">
      <c r="A23" t="s">
        <v>16</v>
      </c>
    </row>
    <row r="24" spans="1:1" x14ac:dyDescent="0.45">
      <c r="A24" t="s">
        <v>17</v>
      </c>
    </row>
    <row r="25" spans="1:1" x14ac:dyDescent="0.45">
      <c r="A25" t="s">
        <v>18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  <row r="29" spans="1:1" x14ac:dyDescent="0.45">
      <c r="A29" t="s">
        <v>22</v>
      </c>
    </row>
    <row r="30" spans="1:1" x14ac:dyDescent="0.45">
      <c r="A30" t="s">
        <v>23</v>
      </c>
    </row>
    <row r="31" spans="1:1" x14ac:dyDescent="0.45">
      <c r="A3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2025-06-03T06:29:03Z</dcterms:created>
  <dcterms:modified xsi:type="dcterms:W3CDTF">2025-06-03T11:39:25Z</dcterms:modified>
</cp:coreProperties>
</file>