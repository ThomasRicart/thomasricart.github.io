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CEE\BTS SNIR 2\CCF\2022\"/>
    </mc:Choice>
  </mc:AlternateContent>
  <xr:revisionPtr revIDLastSave="0" documentId="13_ncr:1_{4B641927-DA4E-44BD-B25D-936C0F71A2A3}" xr6:coauthVersionLast="43" xr6:coauthVersionMax="43" xr10:uidLastSave="{00000000-0000-0000-0000-000000000000}"/>
  <bookViews>
    <workbookView xWindow="-98" yWindow="-98" windowWidth="17115" windowHeight="11025" xr2:uid="{9307E957-C06E-4308-94BC-3274831E8C3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G27" i="1" l="1"/>
  <c r="J27" i="1" s="1"/>
  <c r="AF27" i="1"/>
  <c r="I27" i="1" s="1"/>
  <c r="AE27" i="1"/>
  <c r="H27" i="1" s="1"/>
  <c r="AD27" i="1"/>
  <c r="G27" i="1" s="1"/>
  <c r="AC27" i="1"/>
  <c r="F27" i="1" s="1"/>
  <c r="AB27" i="1"/>
  <c r="E27" i="1" s="1"/>
  <c r="AG26" i="1"/>
  <c r="J26" i="1" s="1"/>
  <c r="AF26" i="1"/>
  <c r="I26" i="1" s="1"/>
  <c r="AE26" i="1"/>
  <c r="H26" i="1" s="1"/>
  <c r="AD26" i="1"/>
  <c r="G26" i="1" s="1"/>
  <c r="AC26" i="1"/>
  <c r="F26" i="1" s="1"/>
  <c r="AB26" i="1"/>
  <c r="E26" i="1" s="1"/>
  <c r="AG25" i="1"/>
  <c r="J25" i="1" s="1"/>
  <c r="AF25" i="1"/>
  <c r="I25" i="1" s="1"/>
  <c r="AE25" i="1"/>
  <c r="H25" i="1" s="1"/>
  <c r="AD25" i="1"/>
  <c r="G25" i="1" s="1"/>
  <c r="AC25" i="1"/>
  <c r="F25" i="1" s="1"/>
  <c r="AB25" i="1"/>
  <c r="E25" i="1" s="1"/>
  <c r="AG24" i="1"/>
  <c r="J24" i="1" s="1"/>
  <c r="AF24" i="1"/>
  <c r="I24" i="1" s="1"/>
  <c r="AE24" i="1"/>
  <c r="H24" i="1" s="1"/>
  <c r="AD24" i="1"/>
  <c r="G24" i="1" s="1"/>
  <c r="AC24" i="1"/>
  <c r="F24" i="1" s="1"/>
  <c r="AB24" i="1"/>
  <c r="E24" i="1" s="1"/>
  <c r="AG23" i="1"/>
  <c r="J23" i="1" s="1"/>
  <c r="AF23" i="1"/>
  <c r="I23" i="1" s="1"/>
  <c r="AE23" i="1"/>
  <c r="H23" i="1" s="1"/>
  <c r="AD23" i="1"/>
  <c r="G23" i="1" s="1"/>
  <c r="AC23" i="1"/>
  <c r="F23" i="1" s="1"/>
  <c r="AB23" i="1"/>
  <c r="E23" i="1" s="1"/>
  <c r="AG22" i="1"/>
  <c r="J22" i="1" s="1"/>
  <c r="AF22" i="1"/>
  <c r="I22" i="1" s="1"/>
  <c r="AE22" i="1"/>
  <c r="H22" i="1" s="1"/>
  <c r="AD22" i="1"/>
  <c r="G22" i="1" s="1"/>
  <c r="AC22" i="1"/>
  <c r="F22" i="1" s="1"/>
  <c r="AB22" i="1"/>
  <c r="E22" i="1" s="1"/>
  <c r="AG21" i="1"/>
  <c r="J21" i="1" s="1"/>
  <c r="AF21" i="1"/>
  <c r="I21" i="1" s="1"/>
  <c r="AE21" i="1"/>
  <c r="H21" i="1" s="1"/>
  <c r="AD21" i="1"/>
  <c r="G21" i="1" s="1"/>
  <c r="AC21" i="1"/>
  <c r="F21" i="1" s="1"/>
  <c r="AB21" i="1"/>
  <c r="E21" i="1" s="1"/>
  <c r="AG20" i="1"/>
  <c r="J20" i="1" s="1"/>
  <c r="AF20" i="1"/>
  <c r="I20" i="1" s="1"/>
  <c r="AE20" i="1"/>
  <c r="H20" i="1" s="1"/>
  <c r="AD20" i="1"/>
  <c r="G20" i="1" s="1"/>
  <c r="AC20" i="1"/>
  <c r="F20" i="1" s="1"/>
  <c r="AB20" i="1"/>
  <c r="E20" i="1" s="1"/>
  <c r="AG19" i="1"/>
  <c r="J19" i="1" s="1"/>
  <c r="AF19" i="1"/>
  <c r="I19" i="1" s="1"/>
  <c r="AE19" i="1"/>
  <c r="H19" i="1" s="1"/>
  <c r="AD19" i="1"/>
  <c r="G19" i="1" s="1"/>
  <c r="AC19" i="1"/>
  <c r="F19" i="1" s="1"/>
  <c r="AB19" i="1"/>
  <c r="E19" i="1" s="1"/>
  <c r="AG18" i="1"/>
  <c r="J18" i="1" s="1"/>
  <c r="AF18" i="1"/>
  <c r="I18" i="1" s="1"/>
  <c r="AE18" i="1"/>
  <c r="H18" i="1" s="1"/>
  <c r="AD18" i="1"/>
  <c r="G18" i="1" s="1"/>
  <c r="AC18" i="1"/>
  <c r="F18" i="1" s="1"/>
  <c r="AB18" i="1"/>
  <c r="E18" i="1" s="1"/>
  <c r="AG17" i="1"/>
  <c r="J17" i="1" s="1"/>
  <c r="AF17" i="1"/>
  <c r="I17" i="1" s="1"/>
  <c r="AE17" i="1"/>
  <c r="H17" i="1" s="1"/>
  <c r="AD17" i="1"/>
  <c r="G17" i="1" s="1"/>
  <c r="AC17" i="1"/>
  <c r="AB17" i="1"/>
  <c r="E17" i="1" s="1"/>
  <c r="AG16" i="1"/>
  <c r="J16" i="1" s="1"/>
  <c r="AF16" i="1"/>
  <c r="I16" i="1" s="1"/>
  <c r="AE16" i="1"/>
  <c r="H16" i="1" s="1"/>
  <c r="AD16" i="1"/>
  <c r="G16" i="1" s="1"/>
  <c r="AC16" i="1"/>
  <c r="F16" i="1" s="1"/>
  <c r="AB16" i="1"/>
  <c r="E16" i="1" s="1"/>
  <c r="AG15" i="1"/>
  <c r="J15" i="1" s="1"/>
  <c r="AF15" i="1"/>
  <c r="I15" i="1" s="1"/>
  <c r="AE15" i="1"/>
  <c r="H15" i="1" s="1"/>
  <c r="AD15" i="1"/>
  <c r="AC15" i="1"/>
  <c r="F15" i="1" s="1"/>
  <c r="AB15" i="1"/>
  <c r="E15" i="1" s="1"/>
  <c r="AG14" i="1"/>
  <c r="J14" i="1" s="1"/>
  <c r="AF14" i="1"/>
  <c r="I14" i="1" s="1"/>
  <c r="AE14" i="1"/>
  <c r="H14" i="1" s="1"/>
  <c r="AD14" i="1"/>
  <c r="G14" i="1" s="1"/>
  <c r="AC14" i="1"/>
  <c r="F14" i="1" s="1"/>
  <c r="AB14" i="1"/>
  <c r="E14" i="1" s="1"/>
  <c r="AG13" i="1"/>
  <c r="J13" i="1" s="1"/>
  <c r="AF13" i="1"/>
  <c r="I13" i="1" s="1"/>
  <c r="AE13" i="1"/>
  <c r="H13" i="1" s="1"/>
  <c r="AD13" i="1"/>
  <c r="G13" i="1" s="1"/>
  <c r="AC13" i="1"/>
  <c r="F13" i="1" s="1"/>
  <c r="AB13" i="1"/>
  <c r="E13" i="1" s="1"/>
  <c r="AG12" i="1"/>
  <c r="J12" i="1" s="1"/>
  <c r="AF12" i="1"/>
  <c r="I12" i="1" s="1"/>
  <c r="AE12" i="1"/>
  <c r="H12" i="1" s="1"/>
  <c r="AD12" i="1"/>
  <c r="G12" i="1" s="1"/>
  <c r="AC12" i="1"/>
  <c r="F12" i="1" s="1"/>
  <c r="AB12" i="1"/>
  <c r="E12" i="1" s="1"/>
  <c r="AG11" i="1"/>
  <c r="J11" i="1" s="1"/>
  <c r="AF11" i="1"/>
  <c r="I11" i="1" s="1"/>
  <c r="AE11" i="1"/>
  <c r="H11" i="1" s="1"/>
  <c r="AD11" i="1"/>
  <c r="G11" i="1" s="1"/>
  <c r="AC11" i="1"/>
  <c r="F11" i="1" s="1"/>
  <c r="AB11" i="1"/>
  <c r="E11" i="1" s="1"/>
  <c r="AG10" i="1"/>
  <c r="J10" i="1" s="1"/>
  <c r="AF10" i="1"/>
  <c r="I10" i="1" s="1"/>
  <c r="AE10" i="1"/>
  <c r="H10" i="1" s="1"/>
  <c r="AD10" i="1"/>
  <c r="G10" i="1" s="1"/>
  <c r="AC10" i="1"/>
  <c r="F10" i="1" s="1"/>
  <c r="AB10" i="1"/>
  <c r="E10" i="1" s="1"/>
  <c r="AG9" i="1"/>
  <c r="J9" i="1" s="1"/>
  <c r="AF9" i="1"/>
  <c r="I9" i="1" s="1"/>
  <c r="AE9" i="1"/>
  <c r="H9" i="1" s="1"/>
  <c r="AD9" i="1"/>
  <c r="G9" i="1" s="1"/>
  <c r="AC9" i="1"/>
  <c r="F9" i="1" s="1"/>
  <c r="AB9" i="1"/>
  <c r="E9" i="1" s="1"/>
  <c r="AG8" i="1"/>
  <c r="J8" i="1" s="1"/>
  <c r="AF8" i="1"/>
  <c r="I8" i="1" s="1"/>
  <c r="AE8" i="1"/>
  <c r="H8" i="1" s="1"/>
  <c r="AD8" i="1"/>
  <c r="AC8" i="1"/>
  <c r="F8" i="1" s="1"/>
  <c r="AB8" i="1"/>
  <c r="E8" i="1" s="1"/>
  <c r="AG7" i="1"/>
  <c r="J7" i="1" s="1"/>
  <c r="AF7" i="1"/>
  <c r="I7" i="1" s="1"/>
  <c r="AE7" i="1"/>
  <c r="H7" i="1" s="1"/>
  <c r="AD7" i="1"/>
  <c r="G7" i="1" s="1"/>
  <c r="AC7" i="1"/>
  <c r="F7" i="1" s="1"/>
  <c r="AB7" i="1"/>
  <c r="E7" i="1" s="1"/>
  <c r="AG6" i="1"/>
  <c r="J6" i="1" s="1"/>
  <c r="AF6" i="1"/>
  <c r="I6" i="1" s="1"/>
  <c r="AE6" i="1"/>
  <c r="H6" i="1" s="1"/>
  <c r="AD6" i="1"/>
  <c r="G6" i="1" s="1"/>
  <c r="AC6" i="1"/>
  <c r="F6" i="1" s="1"/>
  <c r="AB6" i="1"/>
  <c r="E6" i="1" s="1"/>
  <c r="AG5" i="1"/>
  <c r="J5" i="1" s="1"/>
  <c r="AF5" i="1"/>
  <c r="I5" i="1" s="1"/>
  <c r="AE5" i="1"/>
  <c r="H5" i="1" s="1"/>
  <c r="AD5" i="1"/>
  <c r="G5" i="1" s="1"/>
  <c r="AC5" i="1"/>
  <c r="F5" i="1" s="1"/>
  <c r="AB5" i="1"/>
  <c r="E5" i="1" s="1"/>
  <c r="F17" i="1"/>
  <c r="G15" i="1"/>
  <c r="G8" i="1"/>
  <c r="AG4" i="1"/>
  <c r="J4" i="1" s="1"/>
  <c r="AE4" i="1"/>
  <c r="H4" i="1" s="1"/>
  <c r="AF4" i="1"/>
  <c r="I4" i="1" s="1"/>
  <c r="AC4" i="1"/>
  <c r="F4" i="1" s="1"/>
  <c r="AD4" i="1"/>
  <c r="G4" i="1" s="1"/>
  <c r="AB4" i="1"/>
  <c r="E4" i="1" s="1"/>
  <c r="J29" i="1" l="1"/>
  <c r="H29" i="1"/>
  <c r="F29" i="1"/>
  <c r="I29" i="1"/>
  <c r="E29" i="1"/>
  <c r="G29" i="1"/>
  <c r="D15" i="1"/>
  <c r="D17" i="1"/>
  <c r="D24" i="1"/>
  <c r="D7" i="1"/>
  <c r="D14" i="1"/>
  <c r="D6" i="1"/>
  <c r="D10" i="1"/>
  <c r="D4" i="1"/>
  <c r="D25" i="1"/>
  <c r="D22" i="1"/>
  <c r="D12" i="1"/>
  <c r="D19" i="1"/>
  <c r="D8" i="1"/>
  <c r="D9" i="1"/>
  <c r="D16" i="1"/>
  <c r="D13" i="1"/>
  <c r="D23" i="1"/>
  <c r="D27" i="1"/>
  <c r="D5" i="1"/>
  <c r="D21" i="1"/>
  <c r="D18" i="1"/>
  <c r="D11" i="1"/>
  <c r="D20" i="1"/>
  <c r="D26" i="1"/>
  <c r="D29" i="1" l="1"/>
  <c r="U9" i="2" l="1"/>
  <c r="T7" i="2"/>
  <c r="T5" i="2"/>
  <c r="T4" i="2"/>
  <c r="T3" i="2"/>
  <c r="T2" i="2"/>
  <c r="T6" i="2"/>
  <c r="U21" i="2"/>
</calcChain>
</file>

<file path=xl/sharedStrings.xml><?xml version="1.0" encoding="utf-8"?>
<sst xmlns="http://schemas.openxmlformats.org/spreadsheetml/2006/main" count="164" uniqueCount="77">
  <si>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</si>
  <si>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</si>
  <si>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</si>
  <si>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</si>
  <si>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</si>
  <si>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</si>
  <si>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</si>
  <si>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</si>
  <si>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</si>
  <si>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</si>
  <si>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</si>
  <si>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</si>
  <si>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</si>
  <si>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D1</t>
  </si>
  <si>
    <t>D2</t>
  </si>
  <si>
    <t>D4</t>
  </si>
  <si>
    <t>D3</t>
  </si>
  <si>
    <t>S'informer</t>
  </si>
  <si>
    <t>Chercher</t>
  </si>
  <si>
    <t>Modéliser</t>
  </si>
  <si>
    <t>Raisonner, argumenter</t>
  </si>
  <si>
    <t>Calculer</t>
  </si>
  <si>
    <t>Communiquer</t>
  </si>
  <si>
    <t>INF</t>
  </si>
  <si>
    <t>COM</t>
  </si>
  <si>
    <t>CAL</t>
  </si>
  <si>
    <t>RAI</t>
  </si>
  <si>
    <t>MOD</t>
  </si>
  <si>
    <t>CHE</t>
  </si>
  <si>
    <t>x</t>
  </si>
  <si>
    <t>AZOUGAGH</t>
  </si>
  <si>
    <t>Yassin</t>
  </si>
  <si>
    <t>BENAQQA</t>
  </si>
  <si>
    <t>Yanis</t>
  </si>
  <si>
    <t>Lucas</t>
  </si>
  <si>
    <t>BOUKHARSSA</t>
  </si>
  <si>
    <t>Walid</t>
  </si>
  <si>
    <t>CASANOVA</t>
  </si>
  <si>
    <t>Mateo</t>
  </si>
  <si>
    <t>COSTE</t>
  </si>
  <si>
    <t>Cyril</t>
  </si>
  <si>
    <t>CROSNE</t>
  </si>
  <si>
    <t>Maxime</t>
  </si>
  <si>
    <t>DEBESNE</t>
  </si>
  <si>
    <t>Justin</t>
  </si>
  <si>
    <t>DJIAB</t>
  </si>
  <si>
    <t>Mohamed</t>
  </si>
  <si>
    <t>DZAWA</t>
  </si>
  <si>
    <t>Emile</t>
  </si>
  <si>
    <t>EL HOUZI</t>
  </si>
  <si>
    <t>Ilias</t>
  </si>
  <si>
    <t>ESCAICH</t>
  </si>
  <si>
    <t>Loic</t>
  </si>
  <si>
    <t>EZZAOUI</t>
  </si>
  <si>
    <t>Rafik</t>
  </si>
  <si>
    <t>FOREST</t>
  </si>
  <si>
    <t>Martin</t>
  </si>
  <si>
    <t>FORN</t>
  </si>
  <si>
    <t>LOPEZ</t>
  </si>
  <si>
    <t>MARTINS</t>
  </si>
  <si>
    <t>Dario</t>
  </si>
  <si>
    <t>MERLIN</t>
  </si>
  <si>
    <t>Enzo</t>
  </si>
  <si>
    <t>MILLOT</t>
  </si>
  <si>
    <t>Hugo</t>
  </si>
  <si>
    <t>NOT</t>
  </si>
  <si>
    <t>Leo</t>
  </si>
  <si>
    <t>SANTOS DA SILVA</t>
  </si>
  <si>
    <t>Ruben</t>
  </si>
  <si>
    <t>SCHELLENS</t>
  </si>
  <si>
    <t>Kylian</t>
  </si>
  <si>
    <t>SEDDAK</t>
  </si>
  <si>
    <t>Bouziane</t>
  </si>
  <si>
    <t>SONZOGNI</t>
  </si>
  <si>
    <t>Maeva</t>
  </si>
  <si>
    <t>ZANON</t>
  </si>
  <si>
    <t>Florian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</si>
</sst>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2" borderId="1" xfId="1" applyFill="1" applyBorder="1"/>
    <xf numFmtId="0" fontId="1" fillId="0" borderId="1" xfId="1" applyFill="1" applyBorder="1"/>
    <xf numFmtId="0" fontId="0" fillId="0" borderId="2" xfId="0" applyBorder="1"/>
    <xf numFmtId="0" fontId="1" fillId="2" borderId="0" xfId="1" applyFill="1" applyBorder="1"/>
    <xf numFmtId="0" fontId="0" fillId="3" borderId="0" xfId="0" applyFill="1"/>
  </cellXfs>
  <cellStyles count="2">
    <cellStyle name="Normal" xfId="0" builtinId="0"/>
    <cellStyle name="Normal 2" xfId="1" xr:uid="{DA1809BF-867A-442C-ABE8-7CDB469A9F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D954-903B-487F-8C39-E4AA1677344A}">
  <dimension ref="B1:AG29"/>
  <sheetViews>
    <sheetView tabSelected="1" workbookViewId="0">
      <pane xSplit="10" ySplit="3" topLeftCell="X4" activePane="bottomRight" state="frozen"/>
      <selection pane="topRight" activeCell="K1" sqref="K1"/>
      <selection pane="bottomLeft" activeCell="A4" sqref="A4"/>
      <selection pane="bottomRight" activeCell="Y5" sqref="Y5"/>
    </sheetView>
  </sheetViews>
  <sheetFormatPr baseColWidth="10" defaultRowHeight="14.25" x14ac:dyDescent="0.45"/>
  <cols>
    <col min="4" max="4" width="5.59765625" customWidth="1"/>
    <col min="5" max="10" width="4.265625" customWidth="1"/>
    <col min="11" max="27" width="4.53125" customWidth="1"/>
    <col min="28" max="33" width="5.19921875" customWidth="1"/>
  </cols>
  <sheetData>
    <row r="1" spans="2:33" x14ac:dyDescent="0.45">
      <c r="E1" t="s">
        <v>23</v>
      </c>
      <c r="F1" t="s">
        <v>28</v>
      </c>
      <c r="G1" t="s">
        <v>27</v>
      </c>
      <c r="H1" t="s">
        <v>26</v>
      </c>
      <c r="I1" t="s">
        <v>25</v>
      </c>
      <c r="J1" t="s">
        <v>24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16</v>
      </c>
      <c r="AA1" t="s">
        <v>15</v>
      </c>
      <c r="AB1" t="s">
        <v>23</v>
      </c>
      <c r="AC1" t="s">
        <v>28</v>
      </c>
      <c r="AD1" t="s">
        <v>27</v>
      </c>
      <c r="AE1" t="s">
        <v>26</v>
      </c>
      <c r="AF1" t="s">
        <v>25</v>
      </c>
      <c r="AG1" t="s">
        <v>24</v>
      </c>
    </row>
    <row r="2" spans="2:33" x14ac:dyDescent="0.45">
      <c r="E2">
        <v>1</v>
      </c>
      <c r="F2">
        <v>1</v>
      </c>
      <c r="G2">
        <v>1.5</v>
      </c>
      <c r="H2">
        <v>2</v>
      </c>
      <c r="I2">
        <v>2.5</v>
      </c>
      <c r="J2">
        <v>2</v>
      </c>
      <c r="K2" t="s">
        <v>23</v>
      </c>
      <c r="L2" t="s">
        <v>25</v>
      </c>
      <c r="M2" t="s">
        <v>28</v>
      </c>
      <c r="N2" t="s">
        <v>25</v>
      </c>
      <c r="O2" t="s">
        <v>28</v>
      </c>
      <c r="P2" t="s">
        <v>23</v>
      </c>
      <c r="Q2" t="s">
        <v>25</v>
      </c>
      <c r="R2" t="s">
        <v>25</v>
      </c>
      <c r="S2" t="s">
        <v>26</v>
      </c>
      <c r="T2" t="s">
        <v>27</v>
      </c>
      <c r="U2" t="s">
        <v>23</v>
      </c>
      <c r="V2" t="s">
        <v>27</v>
      </c>
      <c r="W2" t="s">
        <v>26</v>
      </c>
      <c r="X2" t="s">
        <v>23</v>
      </c>
      <c r="Y2" t="s">
        <v>28</v>
      </c>
      <c r="Z2" t="s">
        <v>26</v>
      </c>
      <c r="AA2" t="s">
        <v>28</v>
      </c>
    </row>
    <row r="3" spans="2:33" x14ac:dyDescent="0.45">
      <c r="K3" t="s">
        <v>27</v>
      </c>
      <c r="M3" t="s">
        <v>26</v>
      </c>
      <c r="O3" t="s">
        <v>24</v>
      </c>
      <c r="P3" t="s">
        <v>27</v>
      </c>
      <c r="S3" t="s">
        <v>25</v>
      </c>
      <c r="T3" t="s">
        <v>24</v>
      </c>
      <c r="U3" t="s">
        <v>24</v>
      </c>
      <c r="V3" t="s">
        <v>26</v>
      </c>
      <c r="W3" t="s">
        <v>24</v>
      </c>
      <c r="X3" t="s">
        <v>27</v>
      </c>
      <c r="Z3" t="s">
        <v>25</v>
      </c>
      <c r="AA3" t="s">
        <v>26</v>
      </c>
    </row>
    <row r="4" spans="2:33" x14ac:dyDescent="0.45">
      <c r="B4" s="1" t="s">
        <v>30</v>
      </c>
      <c r="C4" s="1" t="s">
        <v>31</v>
      </c>
      <c r="D4" s="4">
        <f>SUM(E4:J4)</f>
        <v>3.5</v>
      </c>
      <c r="E4">
        <f>CEILING(AB4,0.25*SIGN(AB4))</f>
        <v>0.5</v>
      </c>
      <c r="F4">
        <f t="shared" ref="F4:J4" si="0">CEILING(AC4,0.25*SIGN(AC4))</f>
        <v>0.5</v>
      </c>
      <c r="G4">
        <f t="shared" si="0"/>
        <v>0.25</v>
      </c>
      <c r="H4">
        <f t="shared" si="0"/>
        <v>0.75</v>
      </c>
      <c r="I4">
        <f t="shared" si="0"/>
        <v>0.5</v>
      </c>
      <c r="J4">
        <f t="shared" si="0"/>
        <v>1</v>
      </c>
      <c r="K4" s="5">
        <v>0.75</v>
      </c>
      <c r="L4" s="5">
        <v>0</v>
      </c>
      <c r="M4" s="5">
        <v>0</v>
      </c>
      <c r="N4" s="5">
        <v>0</v>
      </c>
      <c r="O4" s="5">
        <v>0.9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0.8</v>
      </c>
      <c r="V4" s="5">
        <v>0</v>
      </c>
      <c r="W4" s="5">
        <v>0</v>
      </c>
      <c r="X4" s="5">
        <v>0</v>
      </c>
      <c r="Y4" s="5">
        <v>0</v>
      </c>
      <c r="Z4" s="5">
        <v>1</v>
      </c>
      <c r="AA4" s="5">
        <v>1</v>
      </c>
      <c r="AB4">
        <f>E$2*(K4+P4+U4+X4)/4</f>
        <v>0.38750000000000001</v>
      </c>
      <c r="AC4">
        <f>F$2*(AA4+M4+O4+Y4)/4</f>
        <v>0.47499999999999998</v>
      </c>
      <c r="AD4">
        <f>G$2*(K4+P4+T4+V4+X4)/5</f>
        <v>0.22500000000000001</v>
      </c>
      <c r="AE4">
        <f>H$2*(M4+S4+W4+Z4+V4+AA4)/6</f>
        <v>0.66666666666666663</v>
      </c>
      <c r="AF4">
        <f>I$2*(L4+Q4+R4+S4+Z4+N4)/6</f>
        <v>0.41666666666666669</v>
      </c>
      <c r="AG4">
        <f>J$2*(O4+T4+U4+W4)/4</f>
        <v>0.85000000000000009</v>
      </c>
    </row>
    <row r="5" spans="2:33" x14ac:dyDescent="0.45">
      <c r="B5" s="2" t="s">
        <v>32</v>
      </c>
      <c r="C5" s="2" t="s">
        <v>33</v>
      </c>
      <c r="D5" s="4">
        <f t="shared" ref="D5:D27" si="1">SUM(E5:J5)</f>
        <v>5.25</v>
      </c>
      <c r="E5">
        <f t="shared" ref="E5:E27" si="2">CEILING(AB5,0.25*SIGN(AB5))</f>
        <v>0.75</v>
      </c>
      <c r="F5">
        <f t="shared" ref="F5:F27" si="3">CEILING(AC5,0.25*SIGN(AC5))</f>
        <v>0.75</v>
      </c>
      <c r="G5">
        <f t="shared" ref="G5:G27" si="4">CEILING(AD5,0.25*SIGN(AD5))</f>
        <v>1</v>
      </c>
      <c r="H5">
        <f t="shared" ref="H5:H27" si="5">CEILING(AE5,0.25*SIGN(AE5))</f>
        <v>0.75</v>
      </c>
      <c r="I5">
        <f t="shared" ref="I5:I27" si="6">CEILING(AF5,0.25*SIGN(AF5))</f>
        <v>1.5</v>
      </c>
      <c r="J5">
        <f t="shared" ref="J5:J27" si="7">CEILING(AG5,0.25*SIGN(AG5))</f>
        <v>0.5</v>
      </c>
      <c r="K5" s="5">
        <v>1</v>
      </c>
      <c r="L5" s="5">
        <v>0</v>
      </c>
      <c r="M5" s="5">
        <v>0.5</v>
      </c>
      <c r="N5" s="5">
        <v>1</v>
      </c>
      <c r="O5" s="5">
        <v>0.9</v>
      </c>
      <c r="P5" s="5">
        <v>0.5</v>
      </c>
      <c r="Q5" s="5">
        <v>1</v>
      </c>
      <c r="R5" s="5">
        <v>0.5</v>
      </c>
      <c r="S5" s="5">
        <v>0</v>
      </c>
      <c r="T5" s="5">
        <v>0</v>
      </c>
      <c r="U5" s="5">
        <v>0</v>
      </c>
      <c r="V5" s="5">
        <v>0.5</v>
      </c>
      <c r="W5" s="5">
        <v>0</v>
      </c>
      <c r="X5" s="5">
        <v>0.75</v>
      </c>
      <c r="Y5" s="5">
        <v>1</v>
      </c>
      <c r="Z5" s="5">
        <v>1</v>
      </c>
      <c r="AA5" s="5">
        <v>0</v>
      </c>
      <c r="AB5">
        <f t="shared" ref="AB5:AB27" si="8">E$2*(K5+P5+U5+X5)/4</f>
        <v>0.5625</v>
      </c>
      <c r="AC5">
        <f t="shared" ref="AC5:AC27" si="9">F$2*(AA5+M5+O5+Y5)/4</f>
        <v>0.6</v>
      </c>
      <c r="AD5">
        <f t="shared" ref="AD5:AD27" si="10">G$2*(K5+P5+T5+V5+X5)/5</f>
        <v>0.82499999999999996</v>
      </c>
      <c r="AE5">
        <f t="shared" ref="AE5:AE27" si="11">H$2*(M5+S5+W5+Z5+V5+AA5)/6</f>
        <v>0.66666666666666663</v>
      </c>
      <c r="AF5">
        <f t="shared" ref="AF5:AF27" si="12">I$2*(L5+Q5+R5+S5+Z5+N5)/6</f>
        <v>1.4583333333333333</v>
      </c>
      <c r="AG5">
        <f t="shared" ref="AG5:AG27" si="13">J$2*(O5+T5+U5+W5)/4</f>
        <v>0.45</v>
      </c>
    </row>
    <row r="6" spans="2:33" x14ac:dyDescent="0.45">
      <c r="B6" s="2" t="s">
        <v>35</v>
      </c>
      <c r="C6" s="2" t="s">
        <v>36</v>
      </c>
      <c r="D6" s="4">
        <f t="shared" si="1"/>
        <v>4.25</v>
      </c>
      <c r="E6">
        <f t="shared" si="2"/>
        <v>0.5</v>
      </c>
      <c r="F6">
        <f t="shared" si="3"/>
        <v>0.75</v>
      </c>
      <c r="G6">
        <f t="shared" si="4"/>
        <v>0.75</v>
      </c>
      <c r="H6">
        <f t="shared" si="5"/>
        <v>0.5</v>
      </c>
      <c r="I6">
        <f t="shared" si="6"/>
        <v>1.25</v>
      </c>
      <c r="J6">
        <f t="shared" si="7"/>
        <v>0.5</v>
      </c>
      <c r="K6" s="5">
        <v>1</v>
      </c>
      <c r="L6" s="5">
        <v>0</v>
      </c>
      <c r="M6" s="5">
        <v>0.5</v>
      </c>
      <c r="N6" s="5">
        <v>1</v>
      </c>
      <c r="O6" s="5">
        <v>0.9</v>
      </c>
      <c r="P6" s="5">
        <v>0.5</v>
      </c>
      <c r="Q6" s="5">
        <v>1</v>
      </c>
      <c r="R6" s="5">
        <v>0.5</v>
      </c>
      <c r="S6" s="5">
        <v>0.5</v>
      </c>
      <c r="T6" s="5">
        <v>0</v>
      </c>
      <c r="U6" s="5">
        <v>0</v>
      </c>
      <c r="V6" s="5">
        <v>0</v>
      </c>
      <c r="W6" s="5">
        <v>0</v>
      </c>
      <c r="X6" s="5">
        <v>0.5</v>
      </c>
      <c r="Y6" s="5">
        <v>1</v>
      </c>
      <c r="Z6" s="5">
        <v>0</v>
      </c>
      <c r="AA6" s="5">
        <v>0.5</v>
      </c>
      <c r="AB6">
        <f t="shared" si="8"/>
        <v>0.5</v>
      </c>
      <c r="AC6">
        <f t="shared" si="9"/>
        <v>0.72499999999999998</v>
      </c>
      <c r="AD6">
        <f t="shared" si="10"/>
        <v>0.6</v>
      </c>
      <c r="AE6">
        <f t="shared" si="11"/>
        <v>0.5</v>
      </c>
      <c r="AF6">
        <f t="shared" si="12"/>
        <v>1.25</v>
      </c>
      <c r="AG6">
        <f t="shared" si="13"/>
        <v>0.45</v>
      </c>
    </row>
    <row r="7" spans="2:33" x14ac:dyDescent="0.45">
      <c r="B7" s="1" t="s">
        <v>37</v>
      </c>
      <c r="C7" s="1" t="s">
        <v>38</v>
      </c>
      <c r="D7" s="4">
        <f t="shared" si="1"/>
        <v>7</v>
      </c>
      <c r="E7">
        <f t="shared" si="2"/>
        <v>1</v>
      </c>
      <c r="F7">
        <f t="shared" si="3"/>
        <v>0.75</v>
      </c>
      <c r="G7">
        <f t="shared" si="4"/>
        <v>1.25</v>
      </c>
      <c r="H7">
        <f t="shared" si="5"/>
        <v>0.75</v>
      </c>
      <c r="I7">
        <f t="shared" si="6"/>
        <v>2.25</v>
      </c>
      <c r="J7">
        <f t="shared" si="7"/>
        <v>1</v>
      </c>
      <c r="K7" s="5">
        <v>1</v>
      </c>
      <c r="L7" s="5">
        <v>1</v>
      </c>
      <c r="M7" s="5">
        <v>0</v>
      </c>
      <c r="N7" s="5">
        <v>1</v>
      </c>
      <c r="O7" s="5">
        <v>0.9</v>
      </c>
      <c r="P7" s="5">
        <v>1</v>
      </c>
      <c r="Q7" s="5">
        <v>1</v>
      </c>
      <c r="R7" s="5">
        <v>1</v>
      </c>
      <c r="S7" s="5">
        <v>0</v>
      </c>
      <c r="T7" s="5">
        <v>0</v>
      </c>
      <c r="U7" s="5">
        <v>0.8</v>
      </c>
      <c r="V7" s="5">
        <v>0.5</v>
      </c>
      <c r="W7" s="5">
        <v>0</v>
      </c>
      <c r="X7" s="5">
        <v>1</v>
      </c>
      <c r="Y7" s="5">
        <v>1</v>
      </c>
      <c r="Z7" s="5">
        <v>1</v>
      </c>
      <c r="AA7" s="5">
        <v>0.5</v>
      </c>
      <c r="AB7">
        <f t="shared" si="8"/>
        <v>0.95</v>
      </c>
      <c r="AC7">
        <f t="shared" si="9"/>
        <v>0.6</v>
      </c>
      <c r="AD7">
        <f t="shared" si="10"/>
        <v>1.05</v>
      </c>
      <c r="AE7">
        <f t="shared" si="11"/>
        <v>0.66666666666666663</v>
      </c>
      <c r="AF7">
        <f t="shared" si="12"/>
        <v>2.0833333333333335</v>
      </c>
      <c r="AG7">
        <f t="shared" si="13"/>
        <v>0.85000000000000009</v>
      </c>
    </row>
    <row r="8" spans="2:33" x14ac:dyDescent="0.45">
      <c r="B8" s="2" t="s">
        <v>39</v>
      </c>
      <c r="C8" s="2" t="s">
        <v>40</v>
      </c>
      <c r="D8" s="4">
        <f t="shared" si="1"/>
        <v>9.25</v>
      </c>
      <c r="E8">
        <f t="shared" si="2"/>
        <v>0.75</v>
      </c>
      <c r="F8">
        <f t="shared" si="3"/>
        <v>1</v>
      </c>
      <c r="G8">
        <f t="shared" si="4"/>
        <v>1.25</v>
      </c>
      <c r="H8">
        <f t="shared" si="5"/>
        <v>2</v>
      </c>
      <c r="I8">
        <f t="shared" si="6"/>
        <v>2.5</v>
      </c>
      <c r="J8">
        <f t="shared" si="7"/>
        <v>1.75</v>
      </c>
      <c r="K8" s="5">
        <v>1</v>
      </c>
      <c r="L8" s="5">
        <v>1</v>
      </c>
      <c r="M8" s="5">
        <v>0.5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0.8</v>
      </c>
      <c r="U8" s="5">
        <v>0.8</v>
      </c>
      <c r="V8" s="5">
        <v>1</v>
      </c>
      <c r="W8" s="5">
        <v>0.8</v>
      </c>
      <c r="X8" s="5">
        <v>0</v>
      </c>
      <c r="Y8" s="5">
        <v>1</v>
      </c>
      <c r="Z8" s="5">
        <v>1</v>
      </c>
      <c r="AA8" s="5">
        <v>1</v>
      </c>
      <c r="AB8">
        <f t="shared" si="8"/>
        <v>0.7</v>
      </c>
      <c r="AC8">
        <f t="shared" si="9"/>
        <v>0.875</v>
      </c>
      <c r="AD8">
        <f t="shared" si="10"/>
        <v>1.1399999999999999</v>
      </c>
      <c r="AE8">
        <f t="shared" si="11"/>
        <v>1.7666666666666666</v>
      </c>
      <c r="AF8">
        <f t="shared" si="12"/>
        <v>2.5</v>
      </c>
      <c r="AG8">
        <f t="shared" si="13"/>
        <v>1.7000000000000002</v>
      </c>
    </row>
    <row r="9" spans="2:33" x14ac:dyDescent="0.45">
      <c r="B9" s="1" t="s">
        <v>41</v>
      </c>
      <c r="C9" s="1" t="s">
        <v>42</v>
      </c>
      <c r="D9" s="4">
        <f t="shared" si="1"/>
        <v>8.5</v>
      </c>
      <c r="E9">
        <f t="shared" si="2"/>
        <v>1</v>
      </c>
      <c r="F9">
        <f t="shared" si="3"/>
        <v>1</v>
      </c>
      <c r="G9">
        <f t="shared" si="4"/>
        <v>1.25</v>
      </c>
      <c r="H9">
        <f t="shared" si="5"/>
        <v>1.25</v>
      </c>
      <c r="I9">
        <f t="shared" si="6"/>
        <v>2.5</v>
      </c>
      <c r="J9">
        <f t="shared" si="7"/>
        <v>1.5</v>
      </c>
      <c r="K9" s="5">
        <v>1</v>
      </c>
      <c r="L9" s="5">
        <v>1</v>
      </c>
      <c r="M9" s="5">
        <v>0.5</v>
      </c>
      <c r="N9" s="5">
        <v>1</v>
      </c>
      <c r="O9" s="5">
        <v>0.9</v>
      </c>
      <c r="P9" s="5">
        <v>0.5</v>
      </c>
      <c r="Q9" s="5">
        <v>1</v>
      </c>
      <c r="R9" s="5">
        <v>0.5</v>
      </c>
      <c r="S9" s="5">
        <v>1</v>
      </c>
      <c r="T9" s="5">
        <v>1</v>
      </c>
      <c r="U9" s="5">
        <v>0.8</v>
      </c>
      <c r="V9" s="5">
        <v>0</v>
      </c>
      <c r="W9" s="5">
        <v>0</v>
      </c>
      <c r="X9" s="5">
        <v>1</v>
      </c>
      <c r="Y9" s="5">
        <v>1</v>
      </c>
      <c r="Z9" s="5">
        <v>1</v>
      </c>
      <c r="AA9" s="5">
        <v>1</v>
      </c>
      <c r="AB9">
        <f t="shared" si="8"/>
        <v>0.82499999999999996</v>
      </c>
      <c r="AC9">
        <f t="shared" si="9"/>
        <v>0.85</v>
      </c>
      <c r="AD9">
        <f t="shared" si="10"/>
        <v>1.05</v>
      </c>
      <c r="AE9">
        <f t="shared" si="11"/>
        <v>1.1666666666666667</v>
      </c>
      <c r="AF9">
        <f t="shared" si="12"/>
        <v>2.2916666666666665</v>
      </c>
      <c r="AG9">
        <f t="shared" si="13"/>
        <v>1.35</v>
      </c>
    </row>
    <row r="10" spans="2:33" x14ac:dyDescent="0.45">
      <c r="B10" s="2" t="s">
        <v>43</v>
      </c>
      <c r="C10" s="2" t="s">
        <v>44</v>
      </c>
      <c r="D10" s="4">
        <f t="shared" si="1"/>
        <v>7.25</v>
      </c>
      <c r="E10">
        <f t="shared" si="2"/>
        <v>1</v>
      </c>
      <c r="F10">
        <f t="shared" si="3"/>
        <v>1</v>
      </c>
      <c r="G10">
        <f t="shared" si="4"/>
        <v>1.25</v>
      </c>
      <c r="H10">
        <f t="shared" si="5"/>
        <v>1.5</v>
      </c>
      <c r="I10">
        <f t="shared" si="6"/>
        <v>1.25</v>
      </c>
      <c r="J10">
        <f t="shared" si="7"/>
        <v>1.25</v>
      </c>
      <c r="K10" s="5">
        <v>1</v>
      </c>
      <c r="L10" s="5">
        <v>1</v>
      </c>
      <c r="M10" s="5">
        <v>0.5</v>
      </c>
      <c r="N10" s="5">
        <v>1</v>
      </c>
      <c r="O10" s="5">
        <v>0.9</v>
      </c>
      <c r="P10" s="5">
        <v>0.8</v>
      </c>
      <c r="Q10" s="5">
        <v>0</v>
      </c>
      <c r="R10" s="5">
        <v>0</v>
      </c>
      <c r="S10" s="5">
        <v>0</v>
      </c>
      <c r="T10" s="5">
        <v>0</v>
      </c>
      <c r="U10" s="5">
        <v>0.5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>
        <f t="shared" si="8"/>
        <v>0.82499999999999996</v>
      </c>
      <c r="AC10">
        <f t="shared" si="9"/>
        <v>0.85</v>
      </c>
      <c r="AD10">
        <f t="shared" si="10"/>
        <v>1.1399999999999999</v>
      </c>
      <c r="AE10">
        <f t="shared" si="11"/>
        <v>1.5</v>
      </c>
      <c r="AF10">
        <f t="shared" si="12"/>
        <v>1.25</v>
      </c>
      <c r="AG10">
        <f t="shared" si="13"/>
        <v>1.2</v>
      </c>
    </row>
    <row r="11" spans="2:33" x14ac:dyDescent="0.45">
      <c r="B11" s="1" t="s">
        <v>45</v>
      </c>
      <c r="C11" s="1" t="s">
        <v>46</v>
      </c>
      <c r="D11" s="4">
        <f t="shared" si="1"/>
        <v>9</v>
      </c>
      <c r="E11">
        <f t="shared" si="2"/>
        <v>1</v>
      </c>
      <c r="F11">
        <f t="shared" si="3"/>
        <v>1</v>
      </c>
      <c r="G11">
        <f t="shared" si="4"/>
        <v>1.5</v>
      </c>
      <c r="H11">
        <f t="shared" si="5"/>
        <v>1.75</v>
      </c>
      <c r="I11">
        <f t="shared" si="6"/>
        <v>2.5</v>
      </c>
      <c r="J11">
        <f t="shared" si="7"/>
        <v>1.25</v>
      </c>
      <c r="K11" s="5">
        <v>1</v>
      </c>
      <c r="L11" s="5">
        <v>1</v>
      </c>
      <c r="M11" s="5">
        <v>1</v>
      </c>
      <c r="N11" s="5">
        <v>1</v>
      </c>
      <c r="O11" s="5">
        <v>0.9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0.5</v>
      </c>
      <c r="V11" s="5">
        <v>1</v>
      </c>
      <c r="W11" s="5">
        <v>0</v>
      </c>
      <c r="X11" s="5">
        <v>1</v>
      </c>
      <c r="Y11" s="5">
        <v>1</v>
      </c>
      <c r="Z11" s="5">
        <v>1</v>
      </c>
      <c r="AA11" s="5">
        <v>1</v>
      </c>
      <c r="AB11">
        <f t="shared" si="8"/>
        <v>0.875</v>
      </c>
      <c r="AC11">
        <f t="shared" si="9"/>
        <v>0.97499999999999998</v>
      </c>
      <c r="AD11">
        <f t="shared" si="10"/>
        <v>1.5</v>
      </c>
      <c r="AE11">
        <f t="shared" si="11"/>
        <v>1.6666666666666667</v>
      </c>
      <c r="AF11">
        <f t="shared" si="12"/>
        <v>2.5</v>
      </c>
      <c r="AG11">
        <f t="shared" si="13"/>
        <v>1.2</v>
      </c>
    </row>
    <row r="12" spans="2:33" x14ac:dyDescent="0.45">
      <c r="B12" s="2" t="s">
        <v>47</v>
      </c>
      <c r="C12" s="2" t="s">
        <v>48</v>
      </c>
      <c r="D12" s="4">
        <f t="shared" si="1"/>
        <v>6</v>
      </c>
      <c r="E12">
        <f t="shared" si="2"/>
        <v>0.75</v>
      </c>
      <c r="F12">
        <f t="shared" si="3"/>
        <v>1</v>
      </c>
      <c r="G12">
        <f t="shared" si="4"/>
        <v>1</v>
      </c>
      <c r="H12">
        <f t="shared" si="5"/>
        <v>1</v>
      </c>
      <c r="I12">
        <f t="shared" si="6"/>
        <v>1.5</v>
      </c>
      <c r="J12">
        <f t="shared" si="7"/>
        <v>0.75</v>
      </c>
      <c r="K12" s="5">
        <v>1</v>
      </c>
      <c r="L12" s="5">
        <v>0</v>
      </c>
      <c r="M12" s="5">
        <v>1</v>
      </c>
      <c r="N12" s="5">
        <v>1</v>
      </c>
      <c r="O12" s="5">
        <v>0.8</v>
      </c>
      <c r="P12" s="5">
        <v>0.5</v>
      </c>
      <c r="Q12" s="5">
        <v>1</v>
      </c>
      <c r="R12" s="5">
        <v>0.5</v>
      </c>
      <c r="S12" s="5">
        <v>0</v>
      </c>
      <c r="T12" s="5">
        <v>0.3</v>
      </c>
      <c r="U12" s="5">
        <v>0</v>
      </c>
      <c r="V12" s="5">
        <v>0</v>
      </c>
      <c r="W12" s="5">
        <v>0</v>
      </c>
      <c r="X12" s="5">
        <v>1</v>
      </c>
      <c r="Y12" s="5">
        <v>1</v>
      </c>
      <c r="Z12" s="5">
        <v>1</v>
      </c>
      <c r="AA12" s="5">
        <v>0.5</v>
      </c>
      <c r="AB12">
        <f t="shared" si="8"/>
        <v>0.625</v>
      </c>
      <c r="AC12">
        <f t="shared" si="9"/>
        <v>0.82499999999999996</v>
      </c>
      <c r="AD12">
        <f t="shared" si="10"/>
        <v>0.83999999999999986</v>
      </c>
      <c r="AE12">
        <f t="shared" si="11"/>
        <v>0.83333333333333337</v>
      </c>
      <c r="AF12">
        <f t="shared" si="12"/>
        <v>1.4583333333333333</v>
      </c>
      <c r="AG12">
        <f t="shared" si="13"/>
        <v>0.55000000000000004</v>
      </c>
    </row>
    <row r="13" spans="2:33" x14ac:dyDescent="0.45">
      <c r="B13" s="1" t="s">
        <v>49</v>
      </c>
      <c r="C13" s="1" t="s">
        <v>50</v>
      </c>
      <c r="D13" s="4">
        <f t="shared" si="1"/>
        <v>6.5</v>
      </c>
      <c r="E13">
        <f t="shared" si="2"/>
        <v>0.75</v>
      </c>
      <c r="F13">
        <f t="shared" si="3"/>
        <v>0.75</v>
      </c>
      <c r="G13">
        <f t="shared" si="4"/>
        <v>1</v>
      </c>
      <c r="H13">
        <f t="shared" si="5"/>
        <v>1</v>
      </c>
      <c r="I13">
        <f t="shared" si="6"/>
        <v>2</v>
      </c>
      <c r="J13">
        <f t="shared" si="7"/>
        <v>1</v>
      </c>
      <c r="K13" s="5">
        <v>1</v>
      </c>
      <c r="L13" s="5">
        <v>1</v>
      </c>
      <c r="M13" s="5">
        <v>0</v>
      </c>
      <c r="N13" s="5">
        <v>1</v>
      </c>
      <c r="O13" s="5">
        <v>1</v>
      </c>
      <c r="P13" s="5">
        <v>0</v>
      </c>
      <c r="Q13" s="5">
        <v>1</v>
      </c>
      <c r="R13" s="5">
        <v>0</v>
      </c>
      <c r="S13" s="5">
        <v>0.5</v>
      </c>
      <c r="T13" s="5">
        <v>0</v>
      </c>
      <c r="U13" s="5">
        <v>0.8</v>
      </c>
      <c r="V13" s="5">
        <v>1</v>
      </c>
      <c r="W13" s="5">
        <v>0</v>
      </c>
      <c r="X13" s="5">
        <v>1</v>
      </c>
      <c r="Y13" s="5">
        <v>1</v>
      </c>
      <c r="Z13" s="5">
        <v>1</v>
      </c>
      <c r="AA13" s="5">
        <v>0.5</v>
      </c>
      <c r="AB13">
        <f t="shared" si="8"/>
        <v>0.7</v>
      </c>
      <c r="AC13">
        <f t="shared" si="9"/>
        <v>0.625</v>
      </c>
      <c r="AD13">
        <f t="shared" si="10"/>
        <v>0.9</v>
      </c>
      <c r="AE13">
        <f t="shared" si="11"/>
        <v>1</v>
      </c>
      <c r="AF13">
        <f t="shared" si="12"/>
        <v>1.875</v>
      </c>
      <c r="AG13">
        <f t="shared" si="13"/>
        <v>0.9</v>
      </c>
    </row>
    <row r="14" spans="2:33" x14ac:dyDescent="0.45">
      <c r="B14" s="2" t="s">
        <v>51</v>
      </c>
      <c r="C14" s="2" t="s">
        <v>52</v>
      </c>
      <c r="D14" s="4">
        <f t="shared" si="1"/>
        <v>9.25</v>
      </c>
      <c r="E14">
        <f t="shared" si="2"/>
        <v>1</v>
      </c>
      <c r="F14">
        <f t="shared" si="3"/>
        <v>1</v>
      </c>
      <c r="G14">
        <f t="shared" si="4"/>
        <v>1.5</v>
      </c>
      <c r="H14">
        <f t="shared" si="5"/>
        <v>1.75</v>
      </c>
      <c r="I14">
        <f t="shared" si="6"/>
        <v>2.5</v>
      </c>
      <c r="J14">
        <f t="shared" si="7"/>
        <v>1.5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0.5</v>
      </c>
      <c r="S14" s="5">
        <v>1</v>
      </c>
      <c r="T14" s="5">
        <v>1</v>
      </c>
      <c r="U14" s="5">
        <v>0.8</v>
      </c>
      <c r="V14" s="5">
        <v>0.5</v>
      </c>
      <c r="W14" s="5">
        <v>0.2</v>
      </c>
      <c r="X14" s="5">
        <v>1</v>
      </c>
      <c r="Y14" s="5">
        <v>1</v>
      </c>
      <c r="Z14" s="5">
        <v>1</v>
      </c>
      <c r="AA14" s="5">
        <v>1</v>
      </c>
      <c r="AB14">
        <f t="shared" si="8"/>
        <v>0.95</v>
      </c>
      <c r="AC14">
        <f t="shared" si="9"/>
        <v>1</v>
      </c>
      <c r="AD14">
        <f t="shared" si="10"/>
        <v>1.35</v>
      </c>
      <c r="AE14">
        <f t="shared" si="11"/>
        <v>1.5666666666666667</v>
      </c>
      <c r="AF14">
        <f t="shared" si="12"/>
        <v>2.2916666666666665</v>
      </c>
      <c r="AG14">
        <f t="shared" si="13"/>
        <v>1.5</v>
      </c>
    </row>
    <row r="15" spans="2:33" x14ac:dyDescent="0.45">
      <c r="B15" s="1" t="s">
        <v>53</v>
      </c>
      <c r="C15" s="1" t="s">
        <v>54</v>
      </c>
      <c r="D15" s="4">
        <f t="shared" si="1"/>
        <v>5.25</v>
      </c>
      <c r="E15">
        <f t="shared" si="2"/>
        <v>0.75</v>
      </c>
      <c r="F15">
        <f t="shared" si="3"/>
        <v>1</v>
      </c>
      <c r="G15">
        <f t="shared" si="4"/>
        <v>0.75</v>
      </c>
      <c r="H15">
        <f t="shared" si="5"/>
        <v>1</v>
      </c>
      <c r="I15">
        <f t="shared" si="6"/>
        <v>1.25</v>
      </c>
      <c r="J15">
        <f t="shared" si="7"/>
        <v>0.5</v>
      </c>
      <c r="K15" s="5">
        <v>1</v>
      </c>
      <c r="L15" s="5">
        <v>0</v>
      </c>
      <c r="M15" s="5">
        <v>1</v>
      </c>
      <c r="N15" s="5">
        <v>1</v>
      </c>
      <c r="O15" s="5">
        <v>0.9</v>
      </c>
      <c r="P15" s="5">
        <v>0.5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  <c r="Y15" s="5">
        <v>1</v>
      </c>
      <c r="Z15" s="5">
        <v>1</v>
      </c>
      <c r="AA15" s="5">
        <v>1</v>
      </c>
      <c r="AB15">
        <f t="shared" si="8"/>
        <v>0.625</v>
      </c>
      <c r="AC15">
        <f t="shared" si="9"/>
        <v>0.97499999999999998</v>
      </c>
      <c r="AD15">
        <f t="shared" si="10"/>
        <v>0.75</v>
      </c>
      <c r="AE15">
        <f t="shared" si="11"/>
        <v>1</v>
      </c>
      <c r="AF15">
        <f t="shared" si="12"/>
        <v>1.25</v>
      </c>
      <c r="AG15">
        <f t="shared" si="13"/>
        <v>0.45</v>
      </c>
    </row>
    <row r="16" spans="2:33" x14ac:dyDescent="0.45">
      <c r="B16" s="2" t="s">
        <v>55</v>
      </c>
      <c r="C16" s="2" t="s">
        <v>56</v>
      </c>
      <c r="D16" s="4">
        <f t="shared" si="1"/>
        <v>10</v>
      </c>
      <c r="E16">
        <f t="shared" si="2"/>
        <v>1</v>
      </c>
      <c r="F16">
        <f t="shared" si="3"/>
        <v>1</v>
      </c>
      <c r="G16">
        <f t="shared" si="4"/>
        <v>1.5</v>
      </c>
      <c r="H16">
        <f t="shared" si="5"/>
        <v>2</v>
      </c>
      <c r="I16">
        <f t="shared" si="6"/>
        <v>2.5</v>
      </c>
      <c r="J16">
        <f t="shared" si="7"/>
        <v>2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0.8</v>
      </c>
      <c r="V16" s="5">
        <v>0.5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>
        <f t="shared" si="8"/>
        <v>0.95</v>
      </c>
      <c r="AC16">
        <f t="shared" si="9"/>
        <v>1</v>
      </c>
      <c r="AD16">
        <f t="shared" si="10"/>
        <v>1.35</v>
      </c>
      <c r="AE16">
        <f t="shared" si="11"/>
        <v>1.8333333333333333</v>
      </c>
      <c r="AF16">
        <f t="shared" si="12"/>
        <v>2.5</v>
      </c>
      <c r="AG16">
        <f t="shared" si="13"/>
        <v>1.9</v>
      </c>
    </row>
    <row r="17" spans="2:33" x14ac:dyDescent="0.45">
      <c r="B17" s="1" t="s">
        <v>57</v>
      </c>
      <c r="C17" s="1" t="s">
        <v>34</v>
      </c>
      <c r="D17" s="4">
        <f t="shared" si="1"/>
        <v>3</v>
      </c>
      <c r="E17">
        <f t="shared" si="2"/>
        <v>0.75</v>
      </c>
      <c r="F17">
        <f t="shared" si="3"/>
        <v>0</v>
      </c>
      <c r="G17">
        <f t="shared" si="4"/>
        <v>1</v>
      </c>
      <c r="H17">
        <f t="shared" si="5"/>
        <v>0.75</v>
      </c>
      <c r="I17">
        <f t="shared" si="6"/>
        <v>0.5</v>
      </c>
      <c r="J17">
        <f t="shared" si="7"/>
        <v>0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0.2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1</v>
      </c>
      <c r="Y17" s="5">
        <v>0</v>
      </c>
      <c r="Z17" s="5">
        <v>1</v>
      </c>
      <c r="AA17" s="5">
        <v>0</v>
      </c>
      <c r="AB17">
        <f t="shared" si="8"/>
        <v>0.55000000000000004</v>
      </c>
      <c r="AC17">
        <f t="shared" si="9"/>
        <v>0</v>
      </c>
      <c r="AD17">
        <f t="shared" si="10"/>
        <v>0.96000000000000019</v>
      </c>
      <c r="AE17">
        <f t="shared" si="11"/>
        <v>0.66666666666666663</v>
      </c>
      <c r="AF17">
        <f t="shared" si="12"/>
        <v>0.41666666666666669</v>
      </c>
      <c r="AG17">
        <f t="shared" si="13"/>
        <v>0</v>
      </c>
    </row>
    <row r="18" spans="2:33" x14ac:dyDescent="0.45">
      <c r="B18" s="1" t="s">
        <v>58</v>
      </c>
      <c r="C18" s="1" t="s">
        <v>52</v>
      </c>
      <c r="D18" s="4">
        <f t="shared" si="1"/>
        <v>6.5</v>
      </c>
      <c r="E18">
        <f t="shared" si="2"/>
        <v>0.75</v>
      </c>
      <c r="F18">
        <f t="shared" si="3"/>
        <v>0.75</v>
      </c>
      <c r="G18">
        <f t="shared" si="4"/>
        <v>1.25</v>
      </c>
      <c r="H18">
        <f t="shared" si="5"/>
        <v>1</v>
      </c>
      <c r="I18">
        <f t="shared" si="6"/>
        <v>2</v>
      </c>
      <c r="J18">
        <f t="shared" si="7"/>
        <v>0.75</v>
      </c>
      <c r="K18" s="5">
        <v>1</v>
      </c>
      <c r="L18" s="5">
        <v>0</v>
      </c>
      <c r="M18" s="5">
        <v>0</v>
      </c>
      <c r="N18" s="5">
        <v>1</v>
      </c>
      <c r="O18" s="5">
        <v>1</v>
      </c>
      <c r="P18" s="5">
        <v>0.5</v>
      </c>
      <c r="Q18" s="5">
        <v>1</v>
      </c>
      <c r="R18" s="5">
        <v>1</v>
      </c>
      <c r="S18" s="5">
        <v>0.5</v>
      </c>
      <c r="T18" s="5">
        <v>0</v>
      </c>
      <c r="U18" s="5">
        <v>0.5</v>
      </c>
      <c r="V18" s="5">
        <v>1</v>
      </c>
      <c r="W18" s="5">
        <v>0</v>
      </c>
      <c r="X18" s="5">
        <v>1</v>
      </c>
      <c r="Y18" s="5">
        <v>1</v>
      </c>
      <c r="Z18" s="5">
        <v>1</v>
      </c>
      <c r="AA18" s="5">
        <v>0.5</v>
      </c>
      <c r="AB18">
        <f t="shared" si="8"/>
        <v>0.75</v>
      </c>
      <c r="AC18">
        <f t="shared" si="9"/>
        <v>0.625</v>
      </c>
      <c r="AD18">
        <f t="shared" si="10"/>
        <v>1.05</v>
      </c>
      <c r="AE18">
        <f t="shared" si="11"/>
        <v>1</v>
      </c>
      <c r="AF18">
        <f t="shared" si="12"/>
        <v>1.875</v>
      </c>
      <c r="AG18">
        <f t="shared" si="13"/>
        <v>0.75</v>
      </c>
    </row>
    <row r="19" spans="2:33" x14ac:dyDescent="0.45">
      <c r="B19" s="2" t="s">
        <v>59</v>
      </c>
      <c r="C19" s="2" t="s">
        <v>60</v>
      </c>
      <c r="D19" s="4">
        <f t="shared" si="1"/>
        <v>4</v>
      </c>
      <c r="E19">
        <f t="shared" si="2"/>
        <v>0.75</v>
      </c>
      <c r="F19">
        <f t="shared" si="3"/>
        <v>0.75</v>
      </c>
      <c r="G19">
        <f t="shared" si="4"/>
        <v>0.75</v>
      </c>
      <c r="H19">
        <f t="shared" si="5"/>
        <v>0.5</v>
      </c>
      <c r="I19">
        <f t="shared" si="6"/>
        <v>1</v>
      </c>
      <c r="J19">
        <f t="shared" si="7"/>
        <v>0.25</v>
      </c>
      <c r="K19" s="5">
        <v>1</v>
      </c>
      <c r="L19" s="5">
        <v>1</v>
      </c>
      <c r="M19" s="5">
        <v>0.5</v>
      </c>
      <c r="N19" s="5">
        <v>0</v>
      </c>
      <c r="O19" s="5">
        <v>0.25</v>
      </c>
      <c r="P19" s="5">
        <v>0</v>
      </c>
      <c r="Q19" s="5">
        <v>0.5</v>
      </c>
      <c r="R19" s="5">
        <v>0</v>
      </c>
      <c r="S19" s="5">
        <v>0</v>
      </c>
      <c r="T19" s="5">
        <v>0</v>
      </c>
      <c r="U19" s="5">
        <v>0.25</v>
      </c>
      <c r="V19" s="5">
        <v>0</v>
      </c>
      <c r="W19" s="5">
        <v>0</v>
      </c>
      <c r="X19" s="5">
        <v>1</v>
      </c>
      <c r="Y19" s="5">
        <v>1</v>
      </c>
      <c r="Z19" s="5">
        <v>0.5</v>
      </c>
      <c r="AA19" s="5">
        <v>0.5</v>
      </c>
      <c r="AB19">
        <f t="shared" si="8"/>
        <v>0.5625</v>
      </c>
      <c r="AC19">
        <f t="shared" si="9"/>
        <v>0.5625</v>
      </c>
      <c r="AD19">
        <f t="shared" si="10"/>
        <v>0.6</v>
      </c>
      <c r="AE19">
        <f t="shared" si="11"/>
        <v>0.5</v>
      </c>
      <c r="AF19">
        <f t="shared" si="12"/>
        <v>0.83333333333333337</v>
      </c>
      <c r="AG19">
        <f t="shared" si="13"/>
        <v>0.25</v>
      </c>
    </row>
    <row r="20" spans="2:33" x14ac:dyDescent="0.45">
      <c r="B20" s="1" t="s">
        <v>61</v>
      </c>
      <c r="C20" s="1" t="s">
        <v>62</v>
      </c>
      <c r="D20" s="4">
        <f t="shared" si="1"/>
        <v>7.75</v>
      </c>
      <c r="E20">
        <f t="shared" si="2"/>
        <v>0.75</v>
      </c>
      <c r="F20">
        <f t="shared" si="3"/>
        <v>1</v>
      </c>
      <c r="G20">
        <f t="shared" si="4"/>
        <v>1.5</v>
      </c>
      <c r="H20">
        <f t="shared" si="5"/>
        <v>1.5</v>
      </c>
      <c r="I20">
        <f t="shared" si="6"/>
        <v>1.75</v>
      </c>
      <c r="J20">
        <f t="shared" si="7"/>
        <v>1.25</v>
      </c>
      <c r="K20" s="5">
        <v>1</v>
      </c>
      <c r="L20" s="5">
        <v>1</v>
      </c>
      <c r="M20" s="5">
        <v>0.5</v>
      </c>
      <c r="N20" s="5">
        <v>0</v>
      </c>
      <c r="O20" s="5">
        <v>0.9</v>
      </c>
      <c r="P20" s="5">
        <v>0.5</v>
      </c>
      <c r="Q20" s="5">
        <v>1</v>
      </c>
      <c r="R20" s="5">
        <v>0.5</v>
      </c>
      <c r="S20" s="5">
        <v>0.5</v>
      </c>
      <c r="T20" s="5">
        <v>1</v>
      </c>
      <c r="U20" s="5">
        <v>0.5</v>
      </c>
      <c r="V20" s="5">
        <v>1</v>
      </c>
      <c r="W20" s="5">
        <v>0</v>
      </c>
      <c r="X20" s="5">
        <v>1</v>
      </c>
      <c r="Y20" s="5">
        <v>1</v>
      </c>
      <c r="Z20" s="5">
        <v>1</v>
      </c>
      <c r="AA20" s="5">
        <v>1</v>
      </c>
      <c r="AB20">
        <f t="shared" si="8"/>
        <v>0.75</v>
      </c>
      <c r="AC20">
        <f t="shared" si="9"/>
        <v>0.85</v>
      </c>
      <c r="AD20">
        <f t="shared" si="10"/>
        <v>1.35</v>
      </c>
      <c r="AE20">
        <f t="shared" si="11"/>
        <v>1.3333333333333333</v>
      </c>
      <c r="AF20">
        <f t="shared" si="12"/>
        <v>1.6666666666666667</v>
      </c>
      <c r="AG20">
        <f t="shared" si="13"/>
        <v>1.2</v>
      </c>
    </row>
    <row r="21" spans="2:33" x14ac:dyDescent="0.45">
      <c r="B21" s="2" t="s">
        <v>63</v>
      </c>
      <c r="C21" s="2" t="s">
        <v>64</v>
      </c>
      <c r="D21" s="4">
        <f t="shared" si="1"/>
        <v>8.25</v>
      </c>
      <c r="E21">
        <f t="shared" si="2"/>
        <v>1</v>
      </c>
      <c r="F21">
        <f t="shared" si="3"/>
        <v>1</v>
      </c>
      <c r="G21">
        <f t="shared" si="4"/>
        <v>1.5</v>
      </c>
      <c r="H21">
        <f t="shared" si="5"/>
        <v>1.5</v>
      </c>
      <c r="I21">
        <f t="shared" si="6"/>
        <v>2.25</v>
      </c>
      <c r="J21">
        <f t="shared" si="7"/>
        <v>1</v>
      </c>
      <c r="K21" s="5">
        <v>1</v>
      </c>
      <c r="L21" s="5">
        <v>1</v>
      </c>
      <c r="M21" s="5">
        <v>0.5</v>
      </c>
      <c r="N21" s="5">
        <v>1</v>
      </c>
      <c r="O21" s="5">
        <v>0.75</v>
      </c>
      <c r="P21" s="5">
        <v>0.8</v>
      </c>
      <c r="Q21" s="5">
        <v>1</v>
      </c>
      <c r="R21" s="5">
        <v>0.5</v>
      </c>
      <c r="S21" s="5">
        <v>0.5</v>
      </c>
      <c r="T21" s="5">
        <v>0.5</v>
      </c>
      <c r="U21" s="5">
        <v>0.3</v>
      </c>
      <c r="V21" s="5">
        <v>1</v>
      </c>
      <c r="W21" s="5">
        <v>0</v>
      </c>
      <c r="X21" s="5">
        <v>1</v>
      </c>
      <c r="Y21" s="5">
        <v>1</v>
      </c>
      <c r="Z21" s="5">
        <v>1</v>
      </c>
      <c r="AA21" s="5">
        <v>1</v>
      </c>
      <c r="AB21">
        <f t="shared" si="8"/>
        <v>0.77500000000000002</v>
      </c>
      <c r="AC21">
        <f t="shared" si="9"/>
        <v>0.8125</v>
      </c>
      <c r="AD21">
        <f t="shared" si="10"/>
        <v>1.2899999999999998</v>
      </c>
      <c r="AE21">
        <f t="shared" si="11"/>
        <v>1.3333333333333333</v>
      </c>
      <c r="AF21">
        <f t="shared" si="12"/>
        <v>2.0833333333333335</v>
      </c>
      <c r="AG21">
        <f t="shared" si="13"/>
        <v>0.77500000000000002</v>
      </c>
    </row>
    <row r="22" spans="2:33" x14ac:dyDescent="0.45">
      <c r="B22" s="1" t="s">
        <v>65</v>
      </c>
      <c r="C22" s="1" t="s">
        <v>66</v>
      </c>
      <c r="D22" s="4">
        <f t="shared" si="1"/>
        <v>5.5</v>
      </c>
      <c r="E22">
        <f t="shared" si="2"/>
        <v>0.75</v>
      </c>
      <c r="F22">
        <f t="shared" si="3"/>
        <v>0.75</v>
      </c>
      <c r="G22">
        <f t="shared" si="4"/>
        <v>1.25</v>
      </c>
      <c r="H22">
        <f t="shared" si="5"/>
        <v>1</v>
      </c>
      <c r="I22">
        <f t="shared" si="6"/>
        <v>0.75</v>
      </c>
      <c r="J22">
        <f t="shared" si="7"/>
        <v>1</v>
      </c>
      <c r="K22" s="5">
        <v>1</v>
      </c>
      <c r="L22" s="5">
        <v>0</v>
      </c>
      <c r="M22" s="5">
        <v>0</v>
      </c>
      <c r="N22" s="5">
        <v>0.5</v>
      </c>
      <c r="O22" s="5">
        <v>0.9</v>
      </c>
      <c r="P22" s="5">
        <v>0.5</v>
      </c>
      <c r="Q22" s="5">
        <v>0.25</v>
      </c>
      <c r="R22" s="5">
        <v>0</v>
      </c>
      <c r="S22" s="5">
        <v>0</v>
      </c>
      <c r="T22" s="5">
        <v>0.5</v>
      </c>
      <c r="U22" s="5">
        <v>0.5</v>
      </c>
      <c r="V22" s="5">
        <v>1</v>
      </c>
      <c r="W22" s="5">
        <v>0</v>
      </c>
      <c r="X22" s="5">
        <v>1</v>
      </c>
      <c r="Y22" s="5">
        <v>1</v>
      </c>
      <c r="Z22" s="5">
        <v>1</v>
      </c>
      <c r="AA22" s="5">
        <v>0.5</v>
      </c>
      <c r="AB22">
        <f t="shared" si="8"/>
        <v>0.75</v>
      </c>
      <c r="AC22">
        <f t="shared" si="9"/>
        <v>0.6</v>
      </c>
      <c r="AD22">
        <f t="shared" si="10"/>
        <v>1.2</v>
      </c>
      <c r="AE22">
        <f t="shared" si="11"/>
        <v>0.83333333333333337</v>
      </c>
      <c r="AF22">
        <f t="shared" si="12"/>
        <v>0.72916666666666663</v>
      </c>
      <c r="AG22">
        <f t="shared" si="13"/>
        <v>0.95</v>
      </c>
    </row>
    <row r="23" spans="2:33" x14ac:dyDescent="0.45">
      <c r="B23" s="2" t="s">
        <v>67</v>
      </c>
      <c r="C23" s="2" t="s">
        <v>68</v>
      </c>
      <c r="D23" s="4">
        <f t="shared" si="1"/>
        <v>2.75</v>
      </c>
      <c r="E23">
        <f t="shared" si="2"/>
        <v>0.5</v>
      </c>
      <c r="F23">
        <f t="shared" si="3"/>
        <v>0.75</v>
      </c>
      <c r="G23">
        <f t="shared" si="4"/>
        <v>0.5</v>
      </c>
      <c r="H23">
        <f t="shared" si="5"/>
        <v>0.25</v>
      </c>
      <c r="I23">
        <f t="shared" si="6"/>
        <v>0.25</v>
      </c>
      <c r="J23">
        <f t="shared" si="7"/>
        <v>0.5</v>
      </c>
      <c r="K23" s="5">
        <v>1</v>
      </c>
      <c r="L23" s="5">
        <v>0</v>
      </c>
      <c r="M23" s="5">
        <v>0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0.5</v>
      </c>
      <c r="Y23" s="5">
        <v>1</v>
      </c>
      <c r="Z23" s="5">
        <v>0.25</v>
      </c>
      <c r="AA23" s="5">
        <v>0.5</v>
      </c>
      <c r="AB23">
        <f t="shared" si="8"/>
        <v>0.375</v>
      </c>
      <c r="AC23">
        <f t="shared" si="9"/>
        <v>0.625</v>
      </c>
      <c r="AD23">
        <f t="shared" si="10"/>
        <v>0.45</v>
      </c>
      <c r="AE23">
        <f t="shared" si="11"/>
        <v>0.25</v>
      </c>
      <c r="AF23">
        <f t="shared" si="12"/>
        <v>0.10416666666666667</v>
      </c>
      <c r="AG23">
        <f t="shared" si="13"/>
        <v>0.5</v>
      </c>
    </row>
    <row r="24" spans="2:33" x14ac:dyDescent="0.45">
      <c r="B24" s="1" t="s">
        <v>69</v>
      </c>
      <c r="C24" s="1" t="s">
        <v>70</v>
      </c>
      <c r="D24" s="4">
        <f t="shared" si="1"/>
        <v>1.75</v>
      </c>
      <c r="E24">
        <f t="shared" si="2"/>
        <v>0.25</v>
      </c>
      <c r="F24">
        <f t="shared" si="3"/>
        <v>0.5</v>
      </c>
      <c r="G24">
        <f t="shared" si="4"/>
        <v>0.5</v>
      </c>
      <c r="H24">
        <f t="shared" si="5"/>
        <v>0.25</v>
      </c>
      <c r="I24">
        <f t="shared" si="6"/>
        <v>0</v>
      </c>
      <c r="J24">
        <f t="shared" si="7"/>
        <v>0.25</v>
      </c>
      <c r="K24" s="5">
        <v>0</v>
      </c>
      <c r="L24" s="5">
        <v>0</v>
      </c>
      <c r="M24" s="5">
        <v>0</v>
      </c>
      <c r="N24" s="5">
        <v>0</v>
      </c>
      <c r="O24" s="5">
        <v>0.2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  <c r="Y24" s="5">
        <v>1</v>
      </c>
      <c r="Z24" s="5">
        <v>0</v>
      </c>
      <c r="AA24" s="5">
        <v>0.5</v>
      </c>
      <c r="AB24">
        <f t="shared" si="8"/>
        <v>0.25</v>
      </c>
      <c r="AC24">
        <f t="shared" si="9"/>
        <v>0.42499999999999999</v>
      </c>
      <c r="AD24">
        <f t="shared" si="10"/>
        <v>0.3</v>
      </c>
      <c r="AE24">
        <f t="shared" si="11"/>
        <v>0.16666666666666666</v>
      </c>
      <c r="AF24">
        <f t="shared" si="12"/>
        <v>0</v>
      </c>
      <c r="AG24">
        <f t="shared" si="13"/>
        <v>0.1</v>
      </c>
    </row>
    <row r="25" spans="2:33" x14ac:dyDescent="0.45">
      <c r="B25" s="2" t="s">
        <v>71</v>
      </c>
      <c r="C25" s="2" t="s">
        <v>72</v>
      </c>
      <c r="D25" s="4">
        <f t="shared" si="1"/>
        <v>4.5</v>
      </c>
      <c r="E25">
        <f t="shared" si="2"/>
        <v>0.75</v>
      </c>
      <c r="F25">
        <f t="shared" si="3"/>
        <v>0.75</v>
      </c>
      <c r="G25">
        <f t="shared" si="4"/>
        <v>1</v>
      </c>
      <c r="H25">
        <f t="shared" si="5"/>
        <v>1</v>
      </c>
      <c r="I25">
        <f t="shared" si="6"/>
        <v>1</v>
      </c>
      <c r="J25">
        <f t="shared" si="7"/>
        <v>0</v>
      </c>
      <c r="K25" s="5">
        <v>1</v>
      </c>
      <c r="L25" s="5">
        <v>0</v>
      </c>
      <c r="M25" s="5">
        <v>0.5</v>
      </c>
      <c r="N25" s="5">
        <v>1</v>
      </c>
      <c r="O25" s="5">
        <v>0</v>
      </c>
      <c r="P25" s="5">
        <v>0.8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  <c r="Y25" s="5">
        <v>1</v>
      </c>
      <c r="Z25" s="5">
        <v>1</v>
      </c>
      <c r="AA25" s="5">
        <v>1</v>
      </c>
      <c r="AB25">
        <f t="shared" si="8"/>
        <v>0.7</v>
      </c>
      <c r="AC25">
        <f t="shared" si="9"/>
        <v>0.625</v>
      </c>
      <c r="AD25">
        <f t="shared" si="10"/>
        <v>0.83999999999999986</v>
      </c>
      <c r="AE25">
        <f t="shared" si="11"/>
        <v>0.83333333333333337</v>
      </c>
      <c r="AF25">
        <f t="shared" si="12"/>
        <v>0.83333333333333337</v>
      </c>
      <c r="AG25">
        <f t="shared" si="13"/>
        <v>0</v>
      </c>
    </row>
    <row r="26" spans="2:33" x14ac:dyDescent="0.45">
      <c r="B26" s="1" t="s">
        <v>73</v>
      </c>
      <c r="C26" s="1" t="s">
        <v>74</v>
      </c>
      <c r="D26" s="4">
        <f t="shared" si="1"/>
        <v>10</v>
      </c>
      <c r="E26">
        <f t="shared" si="2"/>
        <v>1</v>
      </c>
      <c r="F26">
        <f t="shared" si="3"/>
        <v>1</v>
      </c>
      <c r="G26">
        <f t="shared" si="4"/>
        <v>1.5</v>
      </c>
      <c r="H26">
        <f t="shared" si="5"/>
        <v>2</v>
      </c>
      <c r="I26">
        <f t="shared" si="6"/>
        <v>2.5</v>
      </c>
      <c r="J26">
        <f t="shared" si="7"/>
        <v>2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0.8</v>
      </c>
      <c r="Q26" s="5">
        <v>1</v>
      </c>
      <c r="R26" s="5">
        <v>1</v>
      </c>
      <c r="S26" s="5">
        <v>0.8</v>
      </c>
      <c r="T26" s="5">
        <v>1</v>
      </c>
      <c r="U26" s="5">
        <v>0.8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>
        <f t="shared" si="8"/>
        <v>0.9</v>
      </c>
      <c r="AC26">
        <f t="shared" si="9"/>
        <v>1</v>
      </c>
      <c r="AD26">
        <f t="shared" si="10"/>
        <v>1.44</v>
      </c>
      <c r="AE26">
        <f t="shared" si="11"/>
        <v>1.9333333333333333</v>
      </c>
      <c r="AF26">
        <f t="shared" si="12"/>
        <v>2.4166666666666665</v>
      </c>
      <c r="AG26">
        <f t="shared" si="13"/>
        <v>1.9</v>
      </c>
    </row>
    <row r="27" spans="2:33" x14ac:dyDescent="0.45">
      <c r="B27" s="2" t="s">
        <v>75</v>
      </c>
      <c r="C27" s="2" t="s">
        <v>76</v>
      </c>
      <c r="D27" s="4">
        <f t="shared" si="1"/>
        <v>6.5</v>
      </c>
      <c r="E27">
        <f t="shared" si="2"/>
        <v>0.5</v>
      </c>
      <c r="F27">
        <f t="shared" si="3"/>
        <v>0.75</v>
      </c>
      <c r="G27">
        <f t="shared" si="4"/>
        <v>1</v>
      </c>
      <c r="H27">
        <f t="shared" si="5"/>
        <v>1.5</v>
      </c>
      <c r="I27">
        <f t="shared" si="6"/>
        <v>1</v>
      </c>
      <c r="J27">
        <f t="shared" si="7"/>
        <v>1.75</v>
      </c>
      <c r="K27" s="5">
        <v>1</v>
      </c>
      <c r="L27" s="5">
        <v>0</v>
      </c>
      <c r="M27" s="5">
        <v>0</v>
      </c>
      <c r="N27" s="5">
        <v>0</v>
      </c>
      <c r="O27" s="5">
        <v>0.9</v>
      </c>
      <c r="P27" s="5">
        <v>0.25</v>
      </c>
      <c r="Q27" s="5">
        <v>0</v>
      </c>
      <c r="R27" s="5">
        <v>0.5</v>
      </c>
      <c r="S27" s="5">
        <v>0.5</v>
      </c>
      <c r="T27" s="5">
        <v>1</v>
      </c>
      <c r="U27" s="5">
        <v>0.3</v>
      </c>
      <c r="V27" s="5">
        <v>1</v>
      </c>
      <c r="W27" s="5">
        <v>1</v>
      </c>
      <c r="X27" s="5">
        <v>0</v>
      </c>
      <c r="Y27" s="5">
        <v>1</v>
      </c>
      <c r="Z27" s="5">
        <v>1</v>
      </c>
      <c r="AA27" s="5">
        <v>0.5</v>
      </c>
      <c r="AB27">
        <f t="shared" si="8"/>
        <v>0.38750000000000001</v>
      </c>
      <c r="AC27">
        <f t="shared" si="9"/>
        <v>0.6</v>
      </c>
      <c r="AD27">
        <f t="shared" si="10"/>
        <v>0.97499999999999998</v>
      </c>
      <c r="AE27">
        <f t="shared" si="11"/>
        <v>1.3333333333333333</v>
      </c>
      <c r="AF27">
        <f t="shared" si="12"/>
        <v>0.83333333333333337</v>
      </c>
      <c r="AG27">
        <f t="shared" si="13"/>
        <v>1.5999999999999999</v>
      </c>
    </row>
    <row r="29" spans="2:33" x14ac:dyDescent="0.45">
      <c r="D29" s="4">
        <f>AVERAGE(D4:D27)</f>
        <v>6.3125</v>
      </c>
      <c r="E29">
        <f>AVERAGE(E5:E27)/E2</f>
        <v>0.78260869565217395</v>
      </c>
      <c r="F29">
        <f t="shared" ref="F29:J29" si="14">AVERAGE(F5:F27)/F2</f>
        <v>0.82608695652173914</v>
      </c>
      <c r="G29">
        <f t="shared" si="14"/>
        <v>0.74637681159420299</v>
      </c>
      <c r="H29">
        <f t="shared" si="14"/>
        <v>0.57608695652173914</v>
      </c>
      <c r="I29">
        <f t="shared" si="14"/>
        <v>0.63478260869565217</v>
      </c>
      <c r="J29">
        <f t="shared" si="14"/>
        <v>0.48369565217391303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81E5-1E18-45D1-9F50-58AD4AF49FE0}">
  <dimension ref="A1:U21"/>
  <sheetViews>
    <sheetView workbookViewId="0">
      <selection activeCell="B2" sqref="B2:B7"/>
    </sheetView>
  </sheetViews>
  <sheetFormatPr baseColWidth="10" defaultRowHeight="14.25" x14ac:dyDescent="0.45"/>
  <cols>
    <col min="3" max="19" width="3.86328125" customWidth="1"/>
  </cols>
  <sheetData>
    <row r="1" spans="1:21" x14ac:dyDescent="0.4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16</v>
      </c>
      <c r="S1" t="s">
        <v>15</v>
      </c>
    </row>
    <row r="2" spans="1:21" x14ac:dyDescent="0.45">
      <c r="A2" t="s">
        <v>17</v>
      </c>
      <c r="B2" t="s">
        <v>23</v>
      </c>
      <c r="C2" t="s">
        <v>29</v>
      </c>
      <c r="H2" t="s">
        <v>29</v>
      </c>
      <c r="M2" t="s">
        <v>29</v>
      </c>
      <c r="P2" t="s">
        <v>29</v>
      </c>
      <c r="T2">
        <f t="shared" ref="T2:T5" si="0">COUNTIF(C2:S2,"x")</f>
        <v>4</v>
      </c>
      <c r="U2" s="3">
        <v>1</v>
      </c>
    </row>
    <row r="3" spans="1:21" x14ac:dyDescent="0.45">
      <c r="A3" t="s">
        <v>18</v>
      </c>
      <c r="B3" t="s">
        <v>28</v>
      </c>
      <c r="E3" t="s">
        <v>29</v>
      </c>
      <c r="G3" t="s">
        <v>29</v>
      </c>
      <c r="Q3" t="s">
        <v>29</v>
      </c>
      <c r="S3" t="s">
        <v>29</v>
      </c>
      <c r="T3">
        <f t="shared" si="0"/>
        <v>4</v>
      </c>
      <c r="U3" s="3">
        <v>1</v>
      </c>
    </row>
    <row r="4" spans="1:21" x14ac:dyDescent="0.45">
      <c r="A4" t="s">
        <v>19</v>
      </c>
      <c r="B4" t="s">
        <v>27</v>
      </c>
      <c r="C4" t="s">
        <v>29</v>
      </c>
      <c r="H4" t="s">
        <v>29</v>
      </c>
      <c r="L4" t="s">
        <v>29</v>
      </c>
      <c r="N4" t="s">
        <v>29</v>
      </c>
      <c r="P4" t="s">
        <v>29</v>
      </c>
      <c r="T4">
        <f t="shared" si="0"/>
        <v>5</v>
      </c>
      <c r="U4" s="3">
        <v>1.5</v>
      </c>
    </row>
    <row r="5" spans="1:21" x14ac:dyDescent="0.45">
      <c r="A5" t="s">
        <v>20</v>
      </c>
      <c r="B5" t="s">
        <v>26</v>
      </c>
      <c r="E5" t="s">
        <v>29</v>
      </c>
      <c r="K5" t="s">
        <v>29</v>
      </c>
      <c r="N5" t="s">
        <v>29</v>
      </c>
      <c r="O5" t="s">
        <v>29</v>
      </c>
      <c r="R5" t="s">
        <v>29</v>
      </c>
      <c r="S5" t="s">
        <v>29</v>
      </c>
      <c r="T5">
        <f t="shared" si="0"/>
        <v>6</v>
      </c>
      <c r="U5" s="3">
        <v>2</v>
      </c>
    </row>
    <row r="6" spans="1:21" x14ac:dyDescent="0.45">
      <c r="A6" t="s">
        <v>21</v>
      </c>
      <c r="B6" t="s">
        <v>25</v>
      </c>
      <c r="D6" t="s">
        <v>29</v>
      </c>
      <c r="F6" t="s">
        <v>29</v>
      </c>
      <c r="I6" t="s">
        <v>29</v>
      </c>
      <c r="J6" t="s">
        <v>29</v>
      </c>
      <c r="K6" t="s">
        <v>29</v>
      </c>
      <c r="R6" t="s">
        <v>29</v>
      </c>
      <c r="T6">
        <f>COUNTIF(C6:S6,"x")</f>
        <v>6</v>
      </c>
      <c r="U6" s="3">
        <v>2.5</v>
      </c>
    </row>
    <row r="7" spans="1:21" x14ac:dyDescent="0.45">
      <c r="A7" t="s">
        <v>22</v>
      </c>
      <c r="B7" t="s">
        <v>24</v>
      </c>
      <c r="G7" t="s">
        <v>29</v>
      </c>
      <c r="L7" t="s">
        <v>29</v>
      </c>
      <c r="M7" t="s">
        <v>29</v>
      </c>
      <c r="O7" t="s">
        <v>29</v>
      </c>
      <c r="T7">
        <f>COUNTIF(C7:S7,"x")</f>
        <v>4</v>
      </c>
      <c r="U7" s="3">
        <v>2</v>
      </c>
    </row>
    <row r="9" spans="1:21" x14ac:dyDescent="0.45">
      <c r="U9">
        <f>SUM(U2:U7)</f>
        <v>10</v>
      </c>
    </row>
    <row r="21" spans="21:21" x14ac:dyDescent="0.45">
      <c r="U21">
        <f>COUNTIF(C6:S6,"x")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2022-05-09T06:19:56Z</dcterms:created>
  <dcterms:modified xsi:type="dcterms:W3CDTF">2022-05-09T09:30:00Z</dcterms:modified>
</cp:coreProperties>
</file>