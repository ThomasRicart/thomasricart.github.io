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 2023-2024\--- CIEL 1 ---\CCF\CCF SNIR1 2023\"/>
    </mc:Choice>
  </mc:AlternateContent>
  <xr:revisionPtr revIDLastSave="0" documentId="13_ncr:1_{91050A67-ED68-4CA4-BBAE-1DB40B7EC928}" xr6:coauthVersionLast="43" xr6:coauthVersionMax="46" xr10:uidLastSave="{00000000-0000-0000-0000-000000000000}"/>
  <bookViews>
    <workbookView xWindow="-98" yWindow="-98" windowWidth="17115" windowHeight="10755" xr2:uid="{9BD3D24A-447F-45C9-92EC-704B734667DD}"/>
  </bookViews>
  <sheets>
    <sheet name="Feuil1" sheetId="1" r:id="rId1"/>
    <sheet name="Feuil2 (2)" sheetId="5" r:id="rId2"/>
    <sheet name="Feuil2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W26" i="5" l="1"/>
  <c r="AV26" i="5"/>
  <c r="AU26" i="5"/>
  <c r="AT26" i="5"/>
  <c r="AS26" i="5"/>
  <c r="AR26" i="5"/>
  <c r="AW25" i="5"/>
  <c r="AV25" i="5"/>
  <c r="AU25" i="5"/>
  <c r="AT25" i="5"/>
  <c r="AS25" i="5"/>
  <c r="AR25" i="5"/>
  <c r="AW24" i="5"/>
  <c r="AV24" i="5"/>
  <c r="AU24" i="5"/>
  <c r="AT24" i="5"/>
  <c r="AS24" i="5"/>
  <c r="AR24" i="5"/>
  <c r="AW23" i="5"/>
  <c r="AV23" i="5"/>
  <c r="AU23" i="5"/>
  <c r="AT23" i="5"/>
  <c r="AS23" i="5"/>
  <c r="AR23" i="5"/>
  <c r="AW22" i="5"/>
  <c r="AV22" i="5"/>
  <c r="AU22" i="5"/>
  <c r="AT22" i="5"/>
  <c r="AS22" i="5"/>
  <c r="AR22" i="5"/>
  <c r="AW21" i="5"/>
  <c r="AV21" i="5"/>
  <c r="AU21" i="5"/>
  <c r="AT21" i="5"/>
  <c r="AS21" i="5"/>
  <c r="AR21" i="5"/>
  <c r="AW20" i="5"/>
  <c r="AV20" i="5"/>
  <c r="AU20" i="5"/>
  <c r="AT20" i="5"/>
  <c r="AS20" i="5"/>
  <c r="AR20" i="5"/>
  <c r="AW19" i="5"/>
  <c r="AV19" i="5"/>
  <c r="AU19" i="5"/>
  <c r="AT19" i="5"/>
  <c r="AS19" i="5"/>
  <c r="AR19" i="5"/>
  <c r="AW18" i="5"/>
  <c r="AV18" i="5"/>
  <c r="AU18" i="5"/>
  <c r="AT18" i="5"/>
  <c r="BA18" i="5" s="1"/>
  <c r="F18" i="5" s="1"/>
  <c r="AS18" i="5"/>
  <c r="AR18" i="5"/>
  <c r="AW17" i="5"/>
  <c r="AV17" i="5"/>
  <c r="AU17" i="5"/>
  <c r="AT17" i="5"/>
  <c r="AS17" i="5"/>
  <c r="AR17" i="5"/>
  <c r="AW16" i="5"/>
  <c r="AV16" i="5"/>
  <c r="AU16" i="5"/>
  <c r="AT16" i="5"/>
  <c r="BA16" i="5" s="1"/>
  <c r="F16" i="5" s="1"/>
  <c r="AS16" i="5"/>
  <c r="AR16" i="5"/>
  <c r="AW15" i="5"/>
  <c r="AV15" i="5"/>
  <c r="AU15" i="5"/>
  <c r="AT15" i="5"/>
  <c r="AS15" i="5"/>
  <c r="AR15" i="5"/>
  <c r="AW14" i="5"/>
  <c r="AV14" i="5"/>
  <c r="AU14" i="5"/>
  <c r="AT14" i="5"/>
  <c r="AS14" i="5"/>
  <c r="AR14" i="5"/>
  <c r="AW13" i="5"/>
  <c r="AV13" i="5"/>
  <c r="AU13" i="5"/>
  <c r="AT13" i="5"/>
  <c r="AS13" i="5"/>
  <c r="AR13" i="5"/>
  <c r="AW12" i="5"/>
  <c r="AV12" i="5"/>
  <c r="AU12" i="5"/>
  <c r="AT12" i="5"/>
  <c r="AS12" i="5"/>
  <c r="AR12" i="5"/>
  <c r="AW11" i="5"/>
  <c r="AV11" i="5"/>
  <c r="AU11" i="5"/>
  <c r="AT11" i="5"/>
  <c r="AS11" i="5"/>
  <c r="AR11" i="5"/>
  <c r="AW10" i="5"/>
  <c r="AV10" i="5"/>
  <c r="AU10" i="5"/>
  <c r="AT10" i="5"/>
  <c r="BA10" i="5" s="1"/>
  <c r="F10" i="5" s="1"/>
  <c r="AS10" i="5"/>
  <c r="AZ10" i="5" s="1"/>
  <c r="E10" i="5" s="1"/>
  <c r="AR10" i="5"/>
  <c r="AY10" i="5" s="1"/>
  <c r="D10" i="5" s="1"/>
  <c r="AW9" i="5"/>
  <c r="AV9" i="5"/>
  <c r="AU9" i="5"/>
  <c r="AT9" i="5"/>
  <c r="AS9" i="5"/>
  <c r="AR9" i="5"/>
  <c r="AW8" i="5"/>
  <c r="AV8" i="5"/>
  <c r="AU8" i="5"/>
  <c r="AT8" i="5"/>
  <c r="AS8" i="5"/>
  <c r="AR8" i="5"/>
  <c r="AW7" i="5"/>
  <c r="AV7" i="5"/>
  <c r="AU7" i="5"/>
  <c r="AT7" i="5"/>
  <c r="AS7" i="5"/>
  <c r="AR7" i="5"/>
  <c r="AW6" i="5"/>
  <c r="AV6" i="5"/>
  <c r="AU6" i="5"/>
  <c r="AT6" i="5"/>
  <c r="AS6" i="5"/>
  <c r="AR6" i="5"/>
  <c r="AW5" i="5"/>
  <c r="AV5" i="5"/>
  <c r="AU5" i="5"/>
  <c r="AT5" i="5"/>
  <c r="AS5" i="5"/>
  <c r="AR5" i="5"/>
  <c r="AW4" i="5"/>
  <c r="AV4" i="5"/>
  <c r="AU4" i="5"/>
  <c r="AT4" i="5"/>
  <c r="AS4" i="5"/>
  <c r="AZ4" i="5" s="1"/>
  <c r="E4" i="5" s="1"/>
  <c r="AR4" i="5"/>
  <c r="AY4" i="5" s="1"/>
  <c r="D4" i="5" s="1"/>
  <c r="AW2" i="5"/>
  <c r="AV2" i="5"/>
  <c r="BC13" i="5" s="1"/>
  <c r="H13" i="5" s="1"/>
  <c r="AU2" i="5"/>
  <c r="AT2" i="5"/>
  <c r="BA20" i="5" s="1"/>
  <c r="F20" i="5" s="1"/>
  <c r="AS2" i="5"/>
  <c r="AZ24" i="5" s="1"/>
  <c r="E24" i="5" s="1"/>
  <c r="AR2" i="5"/>
  <c r="AY18" i="5" s="1"/>
  <c r="D18" i="5" s="1"/>
  <c r="V9" i="1"/>
  <c r="BD19" i="5" l="1"/>
  <c r="I19" i="5" s="1"/>
  <c r="AZ22" i="5"/>
  <c r="E22" i="5" s="1"/>
  <c r="BD6" i="5"/>
  <c r="I6" i="5" s="1"/>
  <c r="BD10" i="5"/>
  <c r="I10" i="5" s="1"/>
  <c r="AY14" i="5"/>
  <c r="BD17" i="5"/>
  <c r="I17" i="5" s="1"/>
  <c r="AZ18" i="5"/>
  <c r="E18" i="5" s="1"/>
  <c r="AY20" i="5"/>
  <c r="D20" i="5" s="1"/>
  <c r="BA22" i="5"/>
  <c r="F22" i="5" s="1"/>
  <c r="BC23" i="5"/>
  <c r="H23" i="5" s="1"/>
  <c r="BA24" i="5"/>
  <c r="F24" i="5" s="1"/>
  <c r="BC7" i="5"/>
  <c r="H7" i="5" s="1"/>
  <c r="AZ11" i="5"/>
  <c r="E11" i="5" s="1"/>
  <c r="BD14" i="5"/>
  <c r="I14" i="5" s="1"/>
  <c r="AZ16" i="5"/>
  <c r="E16" i="5" s="1"/>
  <c r="BA17" i="5"/>
  <c r="F17" i="5" s="1"/>
  <c r="BD20" i="5"/>
  <c r="I20" i="5" s="1"/>
  <c r="BD21" i="5"/>
  <c r="I21" i="5" s="1"/>
  <c r="BC25" i="5"/>
  <c r="H25" i="5" s="1"/>
  <c r="AZ8" i="5"/>
  <c r="E8" i="5" s="1"/>
  <c r="BC11" i="5"/>
  <c r="H11" i="5" s="1"/>
  <c r="AZ12" i="5"/>
  <c r="E12" i="5" s="1"/>
  <c r="AZ5" i="5"/>
  <c r="E5" i="5" s="1"/>
  <c r="BD7" i="5"/>
  <c r="I7" i="5" s="1"/>
  <c r="AZ9" i="5"/>
  <c r="E9" i="5" s="1"/>
  <c r="BA11" i="5"/>
  <c r="F11" i="5" s="1"/>
  <c r="BD13" i="5"/>
  <c r="I13" i="5" s="1"/>
  <c r="BD18" i="5"/>
  <c r="I18" i="5" s="1"/>
  <c r="BC19" i="5"/>
  <c r="H19" i="5" s="1"/>
  <c r="AZ20" i="5"/>
  <c r="E20" i="5" s="1"/>
  <c r="AY22" i="5"/>
  <c r="D22" i="5" s="1"/>
  <c r="BD25" i="5"/>
  <c r="I25" i="5" s="1"/>
  <c r="AY8" i="5"/>
  <c r="BA9" i="5"/>
  <c r="F9" i="5" s="1"/>
  <c r="BD12" i="5"/>
  <c r="I12" i="5" s="1"/>
  <c r="BC17" i="5"/>
  <c r="H17" i="5" s="1"/>
  <c r="BD24" i="5"/>
  <c r="I24" i="5" s="1"/>
  <c r="BC5" i="5"/>
  <c r="H5" i="5" s="1"/>
  <c r="BA8" i="5"/>
  <c r="F8" i="5" s="1"/>
  <c r="BC9" i="5"/>
  <c r="H9" i="5" s="1"/>
  <c r="BD11" i="5"/>
  <c r="I11" i="5" s="1"/>
  <c r="AZ14" i="5"/>
  <c r="E14" i="5" s="1"/>
  <c r="BD16" i="5"/>
  <c r="I16" i="5" s="1"/>
  <c r="BD23" i="5"/>
  <c r="I23" i="5" s="1"/>
  <c r="BD4" i="5"/>
  <c r="I4" i="5" s="1"/>
  <c r="BD5" i="5"/>
  <c r="I5" i="5" s="1"/>
  <c r="BD9" i="5"/>
  <c r="I9" i="5" s="1"/>
  <c r="AY12" i="5"/>
  <c r="D12" i="5" s="1"/>
  <c r="AZ13" i="5"/>
  <c r="E13" i="5" s="1"/>
  <c r="BC15" i="5"/>
  <c r="H15" i="5" s="1"/>
  <c r="BA21" i="5"/>
  <c r="F21" i="5" s="1"/>
  <c r="AY24" i="5"/>
  <c r="AY6" i="5"/>
  <c r="BD15" i="5"/>
  <c r="I15" i="5" s="1"/>
  <c r="AZ19" i="5"/>
  <c r="E19" i="5" s="1"/>
  <c r="BD22" i="5"/>
  <c r="I22" i="5" s="1"/>
  <c r="AZ6" i="5"/>
  <c r="E6" i="5" s="1"/>
  <c r="BD8" i="5"/>
  <c r="I8" i="5" s="1"/>
  <c r="AY16" i="5"/>
  <c r="D16" i="5" s="1"/>
  <c r="AZ17" i="5"/>
  <c r="E17" i="5" s="1"/>
  <c r="BA19" i="5"/>
  <c r="F19" i="5" s="1"/>
  <c r="BC21" i="5"/>
  <c r="H21" i="5" s="1"/>
  <c r="BD26" i="5"/>
  <c r="I26" i="5" s="1"/>
  <c r="BC16" i="5"/>
  <c r="H16" i="5" s="1"/>
  <c r="BA26" i="5"/>
  <c r="F26" i="5" s="1"/>
  <c r="D24" i="5"/>
  <c r="D6" i="5"/>
  <c r="D8" i="5"/>
  <c r="D14" i="5"/>
  <c r="BB26" i="5"/>
  <c r="G26" i="5" s="1"/>
  <c r="BB24" i="5"/>
  <c r="G24" i="5" s="1"/>
  <c r="BB22" i="5"/>
  <c r="G22" i="5" s="1"/>
  <c r="BB20" i="5"/>
  <c r="G20" i="5" s="1"/>
  <c r="BB18" i="5"/>
  <c r="G18" i="5" s="1"/>
  <c r="BB15" i="5"/>
  <c r="G15" i="5" s="1"/>
  <c r="BB23" i="5"/>
  <c r="G23" i="5" s="1"/>
  <c r="BB9" i="5"/>
  <c r="G9" i="5" s="1"/>
  <c r="BB10" i="5"/>
  <c r="G10" i="5" s="1"/>
  <c r="AY19" i="5"/>
  <c r="AY17" i="5"/>
  <c r="AY15" i="5"/>
  <c r="AY11" i="5"/>
  <c r="AY7" i="5"/>
  <c r="AY25" i="5"/>
  <c r="AY23" i="5"/>
  <c r="AY21" i="5"/>
  <c r="AY13" i="5"/>
  <c r="AY9" i="5"/>
  <c r="AY5" i="5"/>
  <c r="BA4" i="5"/>
  <c r="F4" i="5" s="1"/>
  <c r="BA5" i="5"/>
  <c r="F5" i="5" s="1"/>
  <c r="BA12" i="5"/>
  <c r="F12" i="5" s="1"/>
  <c r="BA13" i="5"/>
  <c r="F13" i="5" s="1"/>
  <c r="AZ25" i="5"/>
  <c r="E25" i="5" s="1"/>
  <c r="AY26" i="5"/>
  <c r="BB6" i="5"/>
  <c r="G6" i="5" s="1"/>
  <c r="BB14" i="5"/>
  <c r="G14" i="5" s="1"/>
  <c r="BB17" i="5"/>
  <c r="G17" i="5" s="1"/>
  <c r="BB11" i="5"/>
  <c r="G11" i="5" s="1"/>
  <c r="BB4" i="5"/>
  <c r="G4" i="5" s="1"/>
  <c r="BB5" i="5"/>
  <c r="G5" i="5" s="1"/>
  <c r="AZ7" i="5"/>
  <c r="E7" i="5" s="1"/>
  <c r="BB12" i="5"/>
  <c r="G12" i="5" s="1"/>
  <c r="BB13" i="5"/>
  <c r="G13" i="5" s="1"/>
  <c r="AZ15" i="5"/>
  <c r="E15" i="5" s="1"/>
  <c r="AZ23" i="5"/>
  <c r="E23" i="5" s="1"/>
  <c r="BA25" i="5"/>
  <c r="F25" i="5" s="1"/>
  <c r="AZ26" i="5"/>
  <c r="E26" i="5" s="1"/>
  <c r="BB7" i="5"/>
  <c r="G7" i="5" s="1"/>
  <c r="BB21" i="5"/>
  <c r="G21" i="5" s="1"/>
  <c r="BB8" i="5"/>
  <c r="G8" i="5" s="1"/>
  <c r="BB16" i="5"/>
  <c r="G16" i="5" s="1"/>
  <c r="BB19" i="5"/>
  <c r="G19" i="5" s="1"/>
  <c r="BA6" i="5"/>
  <c r="F6" i="5" s="1"/>
  <c r="BA7" i="5"/>
  <c r="F7" i="5" s="1"/>
  <c r="BA14" i="5"/>
  <c r="F14" i="5" s="1"/>
  <c r="BA15" i="5"/>
  <c r="F15" i="5" s="1"/>
  <c r="AZ21" i="5"/>
  <c r="E21" i="5" s="1"/>
  <c r="BA23" i="5"/>
  <c r="F23" i="5" s="1"/>
  <c r="BB25" i="5"/>
  <c r="G25" i="5" s="1"/>
  <c r="BC6" i="5"/>
  <c r="H6" i="5" s="1"/>
  <c r="BC10" i="5"/>
  <c r="H10" i="5" s="1"/>
  <c r="BC18" i="5"/>
  <c r="H18" i="5" s="1"/>
  <c r="C18" i="5" s="1"/>
  <c r="BC20" i="5"/>
  <c r="H20" i="5" s="1"/>
  <c r="BC22" i="5"/>
  <c r="H22" i="5" s="1"/>
  <c r="BC24" i="5"/>
  <c r="H24" i="5" s="1"/>
  <c r="BC26" i="5"/>
  <c r="H26" i="5" s="1"/>
  <c r="BC4" i="5"/>
  <c r="H4" i="5" s="1"/>
  <c r="BC8" i="5"/>
  <c r="H8" i="5" s="1"/>
  <c r="BC12" i="5"/>
  <c r="H12" i="5" s="1"/>
  <c r="BC14" i="5"/>
  <c r="H14" i="5" s="1"/>
  <c r="I35" i="4"/>
  <c r="H35" i="4"/>
  <c r="G35" i="4"/>
  <c r="F35" i="4"/>
  <c r="E35" i="4"/>
  <c r="D35" i="4"/>
  <c r="I34" i="4"/>
  <c r="H34" i="4"/>
  <c r="G34" i="4"/>
  <c r="F34" i="4"/>
  <c r="E34" i="4"/>
  <c r="D34" i="4"/>
  <c r="H33" i="4"/>
  <c r="F33" i="4"/>
  <c r="E33" i="4"/>
  <c r="D33" i="4"/>
  <c r="C35" i="4"/>
  <c r="C34" i="4"/>
  <c r="C33" i="4"/>
  <c r="C4" i="4"/>
  <c r="I32" i="4"/>
  <c r="H32" i="4"/>
  <c r="G32" i="4"/>
  <c r="F32" i="4"/>
  <c r="E32" i="4"/>
  <c r="D32" i="4"/>
  <c r="C32" i="4"/>
  <c r="AW29" i="3"/>
  <c r="AV29" i="3"/>
  <c r="AU29" i="3"/>
  <c r="AT29" i="3"/>
  <c r="AS29" i="3"/>
  <c r="AR29" i="3"/>
  <c r="AW28" i="3"/>
  <c r="AV28" i="3"/>
  <c r="AU28" i="3"/>
  <c r="AT28" i="3"/>
  <c r="AS28" i="3"/>
  <c r="AR28" i="3"/>
  <c r="AW27" i="3"/>
  <c r="AV27" i="3"/>
  <c r="AU27" i="3"/>
  <c r="AT27" i="3"/>
  <c r="AS27" i="3"/>
  <c r="AR27" i="3"/>
  <c r="AW26" i="3"/>
  <c r="AV26" i="3"/>
  <c r="AU26" i="3"/>
  <c r="AT26" i="3"/>
  <c r="AS26" i="3"/>
  <c r="AR26" i="3"/>
  <c r="AW25" i="3"/>
  <c r="AV25" i="3"/>
  <c r="AU25" i="3"/>
  <c r="AT25" i="3"/>
  <c r="AS25" i="3"/>
  <c r="AR25" i="3"/>
  <c r="AW24" i="3"/>
  <c r="AV24" i="3"/>
  <c r="AU24" i="3"/>
  <c r="AT24" i="3"/>
  <c r="AS24" i="3"/>
  <c r="AR24" i="3"/>
  <c r="AW23" i="3"/>
  <c r="AV23" i="3"/>
  <c r="AU23" i="3"/>
  <c r="AT23" i="3"/>
  <c r="AS23" i="3"/>
  <c r="AR23" i="3"/>
  <c r="AW22" i="3"/>
  <c r="AV22" i="3"/>
  <c r="AU22" i="3"/>
  <c r="AT22" i="3"/>
  <c r="AS22" i="3"/>
  <c r="AR22" i="3"/>
  <c r="AW21" i="3"/>
  <c r="AV21" i="3"/>
  <c r="AU21" i="3"/>
  <c r="AT21" i="3"/>
  <c r="AS21" i="3"/>
  <c r="AR21" i="3"/>
  <c r="AW20" i="3"/>
  <c r="AV20" i="3"/>
  <c r="AU20" i="3"/>
  <c r="AT20" i="3"/>
  <c r="AS20" i="3"/>
  <c r="AR20" i="3"/>
  <c r="AW19" i="3"/>
  <c r="AV19" i="3"/>
  <c r="AU19" i="3"/>
  <c r="AT19" i="3"/>
  <c r="AS19" i="3"/>
  <c r="AR19" i="3"/>
  <c r="AW18" i="3"/>
  <c r="AV18" i="3"/>
  <c r="AU18" i="3"/>
  <c r="AT18" i="3"/>
  <c r="AS18" i="3"/>
  <c r="AR18" i="3"/>
  <c r="AW17" i="3"/>
  <c r="AV17" i="3"/>
  <c r="AU17" i="3"/>
  <c r="AT17" i="3"/>
  <c r="AS17" i="3"/>
  <c r="AR17" i="3"/>
  <c r="AW16" i="3"/>
  <c r="AV16" i="3"/>
  <c r="AU16" i="3"/>
  <c r="AT16" i="3"/>
  <c r="AS16" i="3"/>
  <c r="AR16" i="3"/>
  <c r="AW15" i="3"/>
  <c r="AV15" i="3"/>
  <c r="AU15" i="3"/>
  <c r="AT15" i="3"/>
  <c r="AS15" i="3"/>
  <c r="AR15" i="3"/>
  <c r="AW14" i="3"/>
  <c r="AV14" i="3"/>
  <c r="AU14" i="3"/>
  <c r="AT14" i="3"/>
  <c r="AS14" i="3"/>
  <c r="AR14" i="3"/>
  <c r="AW13" i="3"/>
  <c r="AV13" i="3"/>
  <c r="AU13" i="3"/>
  <c r="AT13" i="3"/>
  <c r="AS13" i="3"/>
  <c r="AR13" i="3"/>
  <c r="AW12" i="3"/>
  <c r="AV12" i="3"/>
  <c r="AU12" i="3"/>
  <c r="AT12" i="3"/>
  <c r="AS12" i="3"/>
  <c r="AR12" i="3"/>
  <c r="AW11" i="3"/>
  <c r="AV11" i="3"/>
  <c r="AU11" i="3"/>
  <c r="AT11" i="3"/>
  <c r="AS11" i="3"/>
  <c r="AR11" i="3"/>
  <c r="AW10" i="3"/>
  <c r="AV10" i="3"/>
  <c r="AU10" i="3"/>
  <c r="AT10" i="3"/>
  <c r="AS10" i="3"/>
  <c r="AR10" i="3"/>
  <c r="AW9" i="3"/>
  <c r="AV9" i="3"/>
  <c r="AU9" i="3"/>
  <c r="AT9" i="3"/>
  <c r="AS9" i="3"/>
  <c r="AR9" i="3"/>
  <c r="AW8" i="3"/>
  <c r="AV8" i="3"/>
  <c r="AU8" i="3"/>
  <c r="AT8" i="3"/>
  <c r="AS8" i="3"/>
  <c r="AR8" i="3"/>
  <c r="AW7" i="3"/>
  <c r="AV7" i="3"/>
  <c r="AU7" i="3"/>
  <c r="AT7" i="3"/>
  <c r="AS7" i="3"/>
  <c r="AR7" i="3"/>
  <c r="AW6" i="3"/>
  <c r="AV6" i="3"/>
  <c r="AU6" i="3"/>
  <c r="AT6" i="3"/>
  <c r="AS6" i="3"/>
  <c r="AR6" i="3"/>
  <c r="AW5" i="3"/>
  <c r="AV5" i="3"/>
  <c r="AU5" i="3"/>
  <c r="AT5" i="3"/>
  <c r="AS5" i="3"/>
  <c r="AR5" i="3"/>
  <c r="AR2" i="3"/>
  <c r="AS2" i="3"/>
  <c r="AT2" i="3"/>
  <c r="AU2" i="3"/>
  <c r="AV2" i="3"/>
  <c r="AW2" i="3"/>
  <c r="AR4" i="3"/>
  <c r="AS4" i="3"/>
  <c r="AT4" i="3"/>
  <c r="AU4" i="3"/>
  <c r="AV4" i="3"/>
  <c r="AW4" i="3"/>
  <c r="J24" i="5" l="1"/>
  <c r="C20" i="5"/>
  <c r="C12" i="5"/>
  <c r="C10" i="5"/>
  <c r="C14" i="5"/>
  <c r="D19" i="5"/>
  <c r="C19" i="5" s="1"/>
  <c r="J19" i="5"/>
  <c r="J8" i="5"/>
  <c r="C24" i="5"/>
  <c r="D25" i="5"/>
  <c r="C25" i="5" s="1"/>
  <c r="J25" i="5"/>
  <c r="J16" i="5"/>
  <c r="D7" i="5"/>
  <c r="C7" i="5" s="1"/>
  <c r="J7" i="5"/>
  <c r="J14" i="5"/>
  <c r="J20" i="5"/>
  <c r="D5" i="5"/>
  <c r="C5" i="5" s="1"/>
  <c r="J5" i="5"/>
  <c r="D11" i="5"/>
  <c r="C11" i="5" s="1"/>
  <c r="J11" i="5"/>
  <c r="J6" i="5"/>
  <c r="J10" i="5"/>
  <c r="D23" i="5"/>
  <c r="C23" i="5" s="1"/>
  <c r="J23" i="5"/>
  <c r="C4" i="5"/>
  <c r="C16" i="5"/>
  <c r="C6" i="5"/>
  <c r="D26" i="5"/>
  <c r="C26" i="5" s="1"/>
  <c r="J26" i="5"/>
  <c r="D9" i="5"/>
  <c r="C9" i="5" s="1"/>
  <c r="J9" i="5"/>
  <c r="D15" i="5"/>
  <c r="C15" i="5" s="1"/>
  <c r="J15" i="5"/>
  <c r="J22" i="5"/>
  <c r="J18" i="5"/>
  <c r="D21" i="5"/>
  <c r="C21" i="5" s="1"/>
  <c r="J21" i="5"/>
  <c r="C8" i="5"/>
  <c r="D13" i="5"/>
  <c r="C13" i="5" s="1"/>
  <c r="J13" i="5"/>
  <c r="D17" i="5"/>
  <c r="C17" i="5" s="1"/>
  <c r="J17" i="5"/>
  <c r="J12" i="5"/>
  <c r="C22" i="5"/>
  <c r="J4" i="5"/>
  <c r="AY6" i="3"/>
  <c r="D6" i="3" s="1"/>
  <c r="C6" i="3" s="1"/>
  <c r="BA7" i="3"/>
  <c r="F7" i="3" s="1"/>
  <c r="BC8" i="3"/>
  <c r="H8" i="3" s="1"/>
  <c r="AY10" i="3"/>
  <c r="D10" i="3" s="1"/>
  <c r="C10" i="3" s="1"/>
  <c r="BA11" i="3"/>
  <c r="F11" i="3" s="1"/>
  <c r="BC12" i="3"/>
  <c r="H12" i="3" s="1"/>
  <c r="AY14" i="3"/>
  <c r="D14" i="3" s="1"/>
  <c r="BA15" i="3"/>
  <c r="F15" i="3" s="1"/>
  <c r="BC16" i="3"/>
  <c r="H16" i="3" s="1"/>
  <c r="AY18" i="3"/>
  <c r="D18" i="3" s="1"/>
  <c r="BA19" i="3"/>
  <c r="F19" i="3" s="1"/>
  <c r="BC20" i="3"/>
  <c r="H20" i="3" s="1"/>
  <c r="AY22" i="3"/>
  <c r="D22" i="3" s="1"/>
  <c r="BA23" i="3"/>
  <c r="F23" i="3" s="1"/>
  <c r="BC24" i="3"/>
  <c r="H24" i="3" s="1"/>
  <c r="AY26" i="3"/>
  <c r="D26" i="3" s="1"/>
  <c r="BA27" i="3"/>
  <c r="F27" i="3" s="1"/>
  <c r="BC28" i="3"/>
  <c r="H28" i="3" s="1"/>
  <c r="BC5" i="3"/>
  <c r="H5" i="3" s="1"/>
  <c r="AY7" i="3"/>
  <c r="D7" i="3" s="1"/>
  <c r="BA8" i="3"/>
  <c r="F8" i="3" s="1"/>
  <c r="BC9" i="3"/>
  <c r="H9" i="3" s="1"/>
  <c r="AY11" i="3"/>
  <c r="D11" i="3" s="1"/>
  <c r="BA12" i="3"/>
  <c r="F12" i="3" s="1"/>
  <c r="BC13" i="3"/>
  <c r="H13" i="3" s="1"/>
  <c r="AY15" i="3"/>
  <c r="D15" i="3" s="1"/>
  <c r="BA16" i="3"/>
  <c r="F16" i="3" s="1"/>
  <c r="BC17" i="3"/>
  <c r="H17" i="3" s="1"/>
  <c r="AY19" i="3"/>
  <c r="D19" i="3" s="1"/>
  <c r="BA20" i="3"/>
  <c r="F20" i="3" s="1"/>
  <c r="BC21" i="3"/>
  <c r="H21" i="3" s="1"/>
  <c r="AY23" i="3"/>
  <c r="D23" i="3" s="1"/>
  <c r="BA24" i="3"/>
  <c r="F24" i="3" s="1"/>
  <c r="BC25" i="3"/>
  <c r="H25" i="3" s="1"/>
  <c r="AY27" i="3"/>
  <c r="D27" i="3" s="1"/>
  <c r="BA28" i="3"/>
  <c r="F28" i="3" s="1"/>
  <c r="BC29" i="3"/>
  <c r="H29" i="3" s="1"/>
  <c r="BC4" i="3"/>
  <c r="H4" i="3" s="1"/>
  <c r="BB4" i="3"/>
  <c r="G4" i="3" s="1"/>
  <c r="BA4" i="3"/>
  <c r="F4" i="3" s="1"/>
  <c r="AZ4" i="3"/>
  <c r="E4" i="3" s="1"/>
  <c r="AY5" i="3"/>
  <c r="D5" i="3" s="1"/>
  <c r="BA6" i="3"/>
  <c r="F6" i="3" s="1"/>
  <c r="BC7" i="3"/>
  <c r="H7" i="3" s="1"/>
  <c r="AY9" i="3"/>
  <c r="D9" i="3" s="1"/>
  <c r="BA10" i="3"/>
  <c r="F10" i="3" s="1"/>
  <c r="BC11" i="3"/>
  <c r="H11" i="3" s="1"/>
  <c r="AY13" i="3"/>
  <c r="D13" i="3" s="1"/>
  <c r="BA14" i="3"/>
  <c r="F14" i="3" s="1"/>
  <c r="BC15" i="3"/>
  <c r="H15" i="3" s="1"/>
  <c r="AY17" i="3"/>
  <c r="D17" i="3" s="1"/>
  <c r="BA18" i="3"/>
  <c r="F18" i="3" s="1"/>
  <c r="BC19" i="3"/>
  <c r="H19" i="3" s="1"/>
  <c r="AY21" i="3"/>
  <c r="D21" i="3" s="1"/>
  <c r="BA22" i="3"/>
  <c r="F22" i="3" s="1"/>
  <c r="BC23" i="3"/>
  <c r="H23" i="3" s="1"/>
  <c r="AY25" i="3"/>
  <c r="D25" i="3" s="1"/>
  <c r="BA26" i="3"/>
  <c r="F26" i="3" s="1"/>
  <c r="BC27" i="3"/>
  <c r="H27" i="3" s="1"/>
  <c r="AY29" i="3"/>
  <c r="D29" i="3" s="1"/>
  <c r="AY4" i="3"/>
  <c r="D4" i="3" s="1"/>
  <c r="BA5" i="3"/>
  <c r="F5" i="3" s="1"/>
  <c r="BC6" i="3"/>
  <c r="H6" i="3" s="1"/>
  <c r="AY8" i="3"/>
  <c r="D8" i="3" s="1"/>
  <c r="BA9" i="3"/>
  <c r="F9" i="3" s="1"/>
  <c r="BC10" i="3"/>
  <c r="H10" i="3" s="1"/>
  <c r="AY12" i="3"/>
  <c r="D12" i="3" s="1"/>
  <c r="BA13" i="3"/>
  <c r="F13" i="3" s="1"/>
  <c r="BC14" i="3"/>
  <c r="H14" i="3" s="1"/>
  <c r="AY16" i="3"/>
  <c r="D16" i="3" s="1"/>
  <c r="BA17" i="3"/>
  <c r="F17" i="3" s="1"/>
  <c r="BC18" i="3"/>
  <c r="H18" i="3" s="1"/>
  <c r="AY20" i="3"/>
  <c r="D20" i="3" s="1"/>
  <c r="BA21" i="3"/>
  <c r="F21" i="3" s="1"/>
  <c r="BC22" i="3"/>
  <c r="H22" i="3" s="1"/>
  <c r="AY24" i="3"/>
  <c r="D24" i="3" s="1"/>
  <c r="BA25" i="3"/>
  <c r="F25" i="3" s="1"/>
  <c r="BC26" i="3"/>
  <c r="H26" i="3" s="1"/>
  <c r="AY28" i="3"/>
  <c r="D28" i="3" s="1"/>
  <c r="BA29" i="3"/>
  <c r="F29" i="3" s="1"/>
  <c r="BD4" i="3"/>
  <c r="I4" i="3" s="1"/>
  <c r="AZ5" i="3"/>
  <c r="E5" i="3" s="1"/>
  <c r="BB5" i="3"/>
  <c r="BD5" i="3"/>
  <c r="I5" i="3" s="1"/>
  <c r="AZ6" i="3"/>
  <c r="E6" i="3" s="1"/>
  <c r="BB6" i="3"/>
  <c r="G6" i="3" s="1"/>
  <c r="BD6" i="3"/>
  <c r="I6" i="3" s="1"/>
  <c r="AZ7" i="3"/>
  <c r="E7" i="3" s="1"/>
  <c r="BB7" i="3"/>
  <c r="G7" i="3" s="1"/>
  <c r="BD7" i="3"/>
  <c r="I7" i="3" s="1"/>
  <c r="AZ8" i="3"/>
  <c r="E8" i="3" s="1"/>
  <c r="BB8" i="3"/>
  <c r="G8" i="3" s="1"/>
  <c r="BD8" i="3"/>
  <c r="I8" i="3" s="1"/>
  <c r="AZ9" i="3"/>
  <c r="E9" i="3" s="1"/>
  <c r="BB9" i="3"/>
  <c r="G9" i="3" s="1"/>
  <c r="BD9" i="3"/>
  <c r="I9" i="3" s="1"/>
  <c r="AZ10" i="3"/>
  <c r="E10" i="3" s="1"/>
  <c r="BB10" i="3"/>
  <c r="G10" i="3" s="1"/>
  <c r="BD10" i="3"/>
  <c r="I10" i="3" s="1"/>
  <c r="AZ11" i="3"/>
  <c r="E11" i="3" s="1"/>
  <c r="BB11" i="3"/>
  <c r="G11" i="3" s="1"/>
  <c r="BD11" i="3"/>
  <c r="I11" i="3" s="1"/>
  <c r="AZ12" i="3"/>
  <c r="E12" i="3" s="1"/>
  <c r="BB12" i="3"/>
  <c r="G12" i="3" s="1"/>
  <c r="BD12" i="3"/>
  <c r="I12" i="3" s="1"/>
  <c r="AZ13" i="3"/>
  <c r="E13" i="3" s="1"/>
  <c r="BB13" i="3"/>
  <c r="G13" i="3" s="1"/>
  <c r="BD13" i="3"/>
  <c r="I13" i="3" s="1"/>
  <c r="AZ14" i="3"/>
  <c r="E14" i="3" s="1"/>
  <c r="BB14" i="3"/>
  <c r="G14" i="3" s="1"/>
  <c r="BD14" i="3"/>
  <c r="I14" i="3" s="1"/>
  <c r="AZ15" i="3"/>
  <c r="E15" i="3" s="1"/>
  <c r="BB15" i="3"/>
  <c r="G15" i="3" s="1"/>
  <c r="BD15" i="3"/>
  <c r="I15" i="3" s="1"/>
  <c r="AZ16" i="3"/>
  <c r="E16" i="3" s="1"/>
  <c r="BB16" i="3"/>
  <c r="G16" i="3" s="1"/>
  <c r="BD16" i="3"/>
  <c r="I16" i="3" s="1"/>
  <c r="AZ17" i="3"/>
  <c r="E17" i="3" s="1"/>
  <c r="BB17" i="3"/>
  <c r="G17" i="3" s="1"/>
  <c r="BD17" i="3"/>
  <c r="I17" i="3" s="1"/>
  <c r="AZ18" i="3"/>
  <c r="E18" i="3" s="1"/>
  <c r="BB18" i="3"/>
  <c r="G18" i="3" s="1"/>
  <c r="BD18" i="3"/>
  <c r="I18" i="3" s="1"/>
  <c r="AZ19" i="3"/>
  <c r="E19" i="3" s="1"/>
  <c r="BB19" i="3"/>
  <c r="G19" i="3" s="1"/>
  <c r="BD19" i="3"/>
  <c r="I19" i="3" s="1"/>
  <c r="AZ20" i="3"/>
  <c r="E20" i="3" s="1"/>
  <c r="BB20" i="3"/>
  <c r="G20" i="3" s="1"/>
  <c r="BD20" i="3"/>
  <c r="I20" i="3" s="1"/>
  <c r="AZ21" i="3"/>
  <c r="E21" i="3" s="1"/>
  <c r="BB21" i="3"/>
  <c r="G21" i="3" s="1"/>
  <c r="BD21" i="3"/>
  <c r="I21" i="3" s="1"/>
  <c r="AZ22" i="3"/>
  <c r="E22" i="3" s="1"/>
  <c r="BB22" i="3"/>
  <c r="G22" i="3" s="1"/>
  <c r="BD22" i="3"/>
  <c r="I22" i="3" s="1"/>
  <c r="AZ23" i="3"/>
  <c r="E23" i="3" s="1"/>
  <c r="BB23" i="3"/>
  <c r="G23" i="3" s="1"/>
  <c r="BD23" i="3"/>
  <c r="I23" i="3" s="1"/>
  <c r="AZ24" i="3"/>
  <c r="E24" i="3" s="1"/>
  <c r="BB24" i="3"/>
  <c r="G24" i="3" s="1"/>
  <c r="BD24" i="3"/>
  <c r="I24" i="3" s="1"/>
  <c r="AZ25" i="3"/>
  <c r="E25" i="3" s="1"/>
  <c r="BB25" i="3"/>
  <c r="G25" i="3" s="1"/>
  <c r="BD25" i="3"/>
  <c r="I25" i="3" s="1"/>
  <c r="AZ26" i="3"/>
  <c r="E26" i="3" s="1"/>
  <c r="BB26" i="3"/>
  <c r="G26" i="3" s="1"/>
  <c r="BD26" i="3"/>
  <c r="I26" i="3" s="1"/>
  <c r="AZ27" i="3"/>
  <c r="E27" i="3" s="1"/>
  <c r="BB27" i="3"/>
  <c r="G27" i="3" s="1"/>
  <c r="BD27" i="3"/>
  <c r="I27" i="3" s="1"/>
  <c r="AZ28" i="3"/>
  <c r="E28" i="3" s="1"/>
  <c r="BB28" i="3"/>
  <c r="G28" i="3" s="1"/>
  <c r="BD28" i="3"/>
  <c r="I28" i="3" s="1"/>
  <c r="AZ29" i="3"/>
  <c r="E29" i="3" s="1"/>
  <c r="BB29" i="3"/>
  <c r="G29" i="3" s="1"/>
  <c r="BD29" i="3"/>
  <c r="I29" i="3" s="1"/>
  <c r="T2" i="1"/>
  <c r="T3" i="1"/>
  <c r="T4" i="1"/>
  <c r="T5" i="1"/>
  <c r="T6" i="1"/>
  <c r="T7" i="1"/>
  <c r="C28" i="5" l="1"/>
  <c r="J28" i="5"/>
  <c r="C8" i="3"/>
  <c r="C11" i="3"/>
  <c r="J4" i="3"/>
  <c r="C27" i="3"/>
  <c r="C19" i="3"/>
  <c r="C4" i="3"/>
  <c r="C9" i="3"/>
  <c r="C7" i="3"/>
  <c r="J5" i="3"/>
  <c r="G5" i="3"/>
  <c r="C5" i="3" s="1"/>
  <c r="C12" i="3"/>
  <c r="T9" i="1"/>
  <c r="C29" i="3"/>
  <c r="C28" i="3"/>
  <c r="C26" i="3"/>
  <c r="C25" i="3"/>
  <c r="C24" i="3"/>
  <c r="C23" i="3"/>
  <c r="C22" i="3"/>
  <c r="C21" i="3"/>
  <c r="C20" i="3"/>
  <c r="C18" i="3"/>
  <c r="C17" i="3"/>
  <c r="C16" i="3"/>
  <c r="C15" i="3"/>
  <c r="C14" i="3"/>
  <c r="C13" i="3"/>
  <c r="J6" i="3"/>
  <c r="C31" i="3" l="1"/>
  <c r="J7" i="3"/>
  <c r="J8" i="3" l="1"/>
  <c r="J9" i="3" l="1"/>
  <c r="J10" i="3" l="1"/>
  <c r="J11" i="3" l="1"/>
  <c r="J12" i="3" l="1"/>
  <c r="J13" i="3" l="1"/>
  <c r="J14" i="3" l="1"/>
  <c r="J15" i="3" l="1"/>
  <c r="J16" i="3" l="1"/>
  <c r="J17" i="3" l="1"/>
  <c r="J18" i="3" l="1"/>
  <c r="J19" i="3" l="1"/>
  <c r="J20" i="3" l="1"/>
  <c r="J21" i="3" l="1"/>
  <c r="J22" i="3" l="1"/>
  <c r="J23" i="3" l="1"/>
  <c r="J24" i="3" l="1"/>
  <c r="J25" i="3" l="1"/>
  <c r="J26" i="3" l="1"/>
  <c r="J27" i="3" l="1"/>
  <c r="J28" i="3" l="1"/>
  <c r="J29" i="3"/>
  <c r="J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ricart</author>
  </authors>
  <commentList>
    <comment ref="D2" authorId="0" shapeId="0" xr:uid="{92164A38-E120-45DA-9653-D9618435FB51}">
      <text>
        <r>
          <rPr>
            <sz val="9"/>
            <color indexed="81"/>
            <rFont val="Tahoma"/>
            <family val="2"/>
          </rPr>
          <t>S’informer</t>
        </r>
      </text>
    </comment>
    <comment ref="E2" authorId="0" shapeId="0" xr:uid="{311BA477-36E0-4EC3-8262-01E3EFA093B8}">
      <text>
        <r>
          <rPr>
            <b/>
            <sz val="9"/>
            <color indexed="81"/>
            <rFont val="Tahoma"/>
            <family val="2"/>
          </rPr>
          <t>Chercher</t>
        </r>
      </text>
    </comment>
    <comment ref="F2" authorId="0" shapeId="0" xr:uid="{83801E20-51DF-4AC8-BABF-21E9E770A6A0}">
      <text>
        <r>
          <rPr>
            <b/>
            <sz val="9"/>
            <color indexed="81"/>
            <rFont val="Tahoma"/>
            <family val="2"/>
          </rPr>
          <t>Modéliser</t>
        </r>
      </text>
    </comment>
    <comment ref="G2" authorId="0" shapeId="0" xr:uid="{D9DF2D62-F1AF-47C1-A430-1370F43EC547}">
      <text>
        <r>
          <rPr>
            <b/>
            <sz val="9"/>
            <color indexed="81"/>
            <rFont val="Tahoma"/>
            <family val="2"/>
          </rPr>
          <t>Raisonner, argumenter</t>
        </r>
      </text>
    </comment>
    <comment ref="H2" authorId="0" shapeId="0" xr:uid="{357A6DD7-F68C-41E3-8025-605BDB55AA24}">
      <text>
        <r>
          <rPr>
            <b/>
            <sz val="9"/>
            <color indexed="81"/>
            <rFont val="Tahoma"/>
            <family val="2"/>
          </rPr>
          <t>Calculer, illustrer, mettre en œuvre une stratégie</t>
        </r>
      </text>
    </comment>
    <comment ref="I2" authorId="0" shapeId="0" xr:uid="{59D2E5BF-3E99-4B80-97DE-8BA3D502FCB0}">
      <text>
        <r>
          <rPr>
            <b/>
            <sz val="9"/>
            <color indexed="81"/>
            <rFont val="Tahoma"/>
            <family val="2"/>
          </rPr>
          <t>Communiquer</t>
        </r>
      </text>
    </comment>
  </commentList>
</comments>
</file>

<file path=xl/sharedStrings.xml><?xml version="1.0" encoding="utf-8"?>
<sst xmlns="http://schemas.openxmlformats.org/spreadsheetml/2006/main" count="300" uniqueCount="127">
  <si>
    <t>S'INFORMER</t>
  </si>
  <si>
    <t>CHERCHER</t>
  </si>
  <si>
    <t>MODELISER</t>
  </si>
  <si>
    <t>RAISONNER</t>
  </si>
  <si>
    <t>CALCULER</t>
  </si>
  <si>
    <t>COMMUNIQUER</t>
  </si>
  <si>
    <t>Nbre</t>
  </si>
  <si>
    <t>Bareme</t>
  </si>
  <si>
    <t>Nom</t>
  </si>
  <si>
    <t>Prénom</t>
  </si>
  <si>
    <t>AZOUGAGH</t>
  </si>
  <si>
    <t>Yassin</t>
  </si>
  <si>
    <t>BENAQQA</t>
  </si>
  <si>
    <t>Yanis</t>
  </si>
  <si>
    <t>BIZE</t>
  </si>
  <si>
    <t>Lucas</t>
  </si>
  <si>
    <t>BOUKHARSSA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</si>
  <si>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</si>
  <si>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</si>
  <si>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</si>
  <si>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</si>
  <si>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</si>
  <si>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</si>
  <si>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</si>
  <si>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</si>
  <si>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</si>
  <si>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</si>
  <si>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</si>
  <si>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</si>
  <si>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</si>
  <si>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</si>
  <si>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</si>
  <si>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</si>
  <si>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</si>
  <si>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</si>
  <si>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</si>
  <si>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</si>
  <si>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</si>
  <si>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ISAAC</t>
  </si>
  <si>
    <t>Yannick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</si>
  <si>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</si>
  <si>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</si>
  <si>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</si>
  <si>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</si>
  <si>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</si>
  <si>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</si>
  <si>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</si>
  <si>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</si>
  <si>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</si>
  <si>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</si>
  <si>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</si>
  <si>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</si>
  <si>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</si>
  <si>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</si>
  <si>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</si>
  <si>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</si>
  <si>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</si>
  <si>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</si>
  <si>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</si>
  <si>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MO</t>
  </si>
  <si>
    <t>IN</t>
  </si>
  <si>
    <t>CA</t>
  </si>
  <si>
    <t>RA</t>
  </si>
  <si>
    <t>CH</t>
  </si>
  <si>
    <t>CO</t>
  </si>
  <si>
    <t xml:space="preserve"> </t>
  </si>
  <si>
    <t>Walid</t>
  </si>
  <si>
    <t>TOT</t>
  </si>
  <si>
    <t>CAPA1</t>
  </si>
  <si>
    <t>CAPA2</t>
  </si>
  <si>
    <t>CAPA3</t>
  </si>
  <si>
    <t>CAPA4</t>
  </si>
  <si>
    <t>CAPA5</t>
  </si>
  <si>
    <t>CAPA6</t>
  </si>
  <si>
    <t>TOTALF</t>
  </si>
  <si>
    <t>COMP1</t>
  </si>
  <si>
    <t>COMP2</t>
  </si>
  <si>
    <t>COMP3</t>
  </si>
  <si>
    <t>COMP4</t>
  </si>
  <si>
    <t>COMP5</t>
  </si>
  <si>
    <t>COMP6</t>
  </si>
  <si>
    <t>Moyenne</t>
  </si>
  <si>
    <t>Min</t>
  </si>
  <si>
    <t>Max</t>
  </si>
  <si>
    <t>BAREME</t>
  </si>
  <si>
    <t>Ecart Type</t>
  </si>
  <si>
    <t>BTS SNIR1 - MATHEMATIQUES - SITUATION D'EVALUATION 1</t>
  </si>
  <si>
    <t>ALONSO</t>
  </si>
  <si>
    <t>Julian</t>
  </si>
  <si>
    <t>AVILES</t>
  </si>
  <si>
    <t>Valentin</t>
  </si>
  <si>
    <t>BAILLARD</t>
  </si>
  <si>
    <t>Quentin</t>
  </si>
  <si>
    <t>BOUADJEMI</t>
  </si>
  <si>
    <t>Tayeb</t>
  </si>
  <si>
    <t>BOUHOUIA</t>
  </si>
  <si>
    <t>Anes</t>
  </si>
  <si>
    <t>CARPENTIER</t>
  </si>
  <si>
    <t>CHERIFI</t>
  </si>
  <si>
    <t>Ahmed</t>
  </si>
  <si>
    <t>COURTIOL</t>
  </si>
  <si>
    <t>DAL CORSO</t>
  </si>
  <si>
    <t>DAVID</t>
  </si>
  <si>
    <t>Hedy</t>
  </si>
  <si>
    <t>FERJANI</t>
  </si>
  <si>
    <t>Rayan</t>
  </si>
  <si>
    <t>FRAYSSINE</t>
  </si>
  <si>
    <t>Edwyn</t>
  </si>
  <si>
    <t>GHOBRINI</t>
  </si>
  <si>
    <t>Sofian</t>
  </si>
  <si>
    <t>GOVIN</t>
  </si>
  <si>
    <t>Louis</t>
  </si>
  <si>
    <t>IMPINNA</t>
  </si>
  <si>
    <t>Adrien</t>
  </si>
  <si>
    <t>KOUADIO</t>
  </si>
  <si>
    <t>Anderson</t>
  </si>
  <si>
    <t>LANGLET</t>
  </si>
  <si>
    <t>LECELLIER</t>
  </si>
  <si>
    <t>Elio</t>
  </si>
  <si>
    <t>LEMKADMI</t>
  </si>
  <si>
    <t>Wassim</t>
  </si>
  <si>
    <t>MARECHAU</t>
  </si>
  <si>
    <t>Kyllian</t>
  </si>
  <si>
    <t>MBARKI</t>
  </si>
  <si>
    <t>Adam</t>
  </si>
  <si>
    <t>MILHES</t>
  </si>
  <si>
    <t>RICARD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</si>
</sst>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CC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0" borderId="2" xfId="2" applyBorder="1"/>
    <xf numFmtId="0" fontId="2" fillId="2" borderId="2" xfId="2" applyFill="1" applyBorder="1"/>
    <xf numFmtId="0" fontId="2" fillId="4" borderId="2" xfId="2" applyFill="1" applyBorder="1"/>
    <xf numFmtId="0" fontId="2" fillId="5" borderId="2" xfId="2" applyFill="1" applyBorder="1"/>
    <xf numFmtId="0" fontId="2" fillId="3" borderId="2" xfId="2" applyFill="1" applyBorder="1"/>
    <xf numFmtId="0" fontId="2" fillId="6" borderId="2" xfId="2" applyFill="1" applyBorder="1"/>
    <xf numFmtId="43" fontId="2" fillId="0" borderId="2" xfId="1" applyBorder="1"/>
    <xf numFmtId="43" fontId="0" fillId="0" borderId="0" xfId="1" applyFont="1"/>
    <xf numFmtId="0" fontId="2" fillId="0" borderId="2" xfId="2" applyFill="1" applyBorder="1"/>
    <xf numFmtId="43" fontId="2" fillId="0" borderId="2" xfId="1" applyFill="1" applyBorder="1"/>
    <xf numFmtId="43" fontId="0" fillId="0" borderId="0" xfId="1" applyFont="1" applyFill="1"/>
    <xf numFmtId="43" fontId="2" fillId="6" borderId="2" xfId="1" applyFill="1" applyBorder="1"/>
    <xf numFmtId="43" fontId="0" fillId="6" borderId="0" xfId="1" applyFont="1" applyFill="1"/>
    <xf numFmtId="0" fontId="2" fillId="7" borderId="2" xfId="2" applyFill="1" applyBorder="1"/>
    <xf numFmtId="0" fontId="0" fillId="6" borderId="0" xfId="0" applyFill="1"/>
    <xf numFmtId="0" fontId="0" fillId="6" borderId="1" xfId="0" applyFill="1" applyBorder="1"/>
    <xf numFmtId="43" fontId="0" fillId="0" borderId="1" xfId="1" applyFont="1" applyBorder="1"/>
    <xf numFmtId="43" fontId="0" fillId="2" borderId="1" xfId="1" applyFont="1" applyFill="1" applyBorder="1"/>
    <xf numFmtId="43" fontId="0" fillId="6" borderId="1" xfId="1" applyFont="1" applyFill="1" applyBorder="1"/>
    <xf numFmtId="0" fontId="0" fillId="0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Fill="1" applyBorder="1"/>
  </cellXfs>
  <cellStyles count="3">
    <cellStyle name="Milliers" xfId="1" builtinId="3"/>
    <cellStyle name="Normal" xfId="0" builtinId="0"/>
    <cellStyle name="Normal 2" xfId="2" xr:uid="{6A47A149-D64D-4886-9855-B58FFD709BEB}"/>
  </cellStyles>
  <dxfs count="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4706-BF1E-4C33-9185-73C3E25FC326}">
  <dimension ref="A1:V10"/>
  <sheetViews>
    <sheetView tabSelected="1" workbookViewId="0">
      <selection activeCell="S5" sqref="S5"/>
    </sheetView>
  </sheetViews>
  <sheetFormatPr baseColWidth="10" defaultRowHeight="14.25" x14ac:dyDescent="0.45"/>
  <cols>
    <col min="1" max="1" width="13.6640625" customWidth="1"/>
    <col min="2" max="19" width="3.3984375" customWidth="1"/>
    <col min="20" max="20" width="5.6640625" customWidth="1"/>
    <col min="21" max="21" width="3.33203125" customWidth="1"/>
    <col min="22" max="22" width="6.3984375" customWidth="1"/>
  </cols>
  <sheetData>
    <row r="1" spans="1:22" x14ac:dyDescent="0.4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 t="s">
        <v>6</v>
      </c>
      <c r="U1" s="2"/>
      <c r="V1" s="2" t="s">
        <v>7</v>
      </c>
    </row>
    <row r="2" spans="1:22" x14ac:dyDescent="0.45">
      <c r="A2" s="1" t="s">
        <v>2</v>
      </c>
      <c r="B2" s="1">
        <v>1</v>
      </c>
      <c r="C2" s="1"/>
      <c r="D2" s="22"/>
      <c r="E2" s="22"/>
      <c r="F2" s="22"/>
      <c r="G2" s="22"/>
      <c r="H2" s="22"/>
      <c r="I2" s="22"/>
      <c r="J2" s="22">
        <v>1</v>
      </c>
      <c r="K2" s="22"/>
      <c r="L2" s="22"/>
      <c r="M2" s="22"/>
      <c r="N2" s="1"/>
      <c r="O2" s="1"/>
      <c r="P2" s="1"/>
      <c r="Q2" s="1">
        <v>1</v>
      </c>
      <c r="R2" s="1"/>
      <c r="S2" s="1">
        <v>1</v>
      </c>
      <c r="T2" s="1">
        <f>SUM(B2:S2)</f>
        <v>4</v>
      </c>
      <c r="U2" s="1"/>
      <c r="V2" s="1">
        <v>1</v>
      </c>
    </row>
    <row r="3" spans="1:22" x14ac:dyDescent="0.45">
      <c r="A3" s="1" t="s">
        <v>0</v>
      </c>
      <c r="B3" s="1">
        <v>1</v>
      </c>
      <c r="C3" s="1"/>
      <c r="D3" s="22"/>
      <c r="E3" s="22">
        <v>1</v>
      </c>
      <c r="F3" s="22"/>
      <c r="G3" s="22"/>
      <c r="H3" s="22"/>
      <c r="I3" s="22"/>
      <c r="J3" s="22"/>
      <c r="K3" s="22"/>
      <c r="L3" s="22"/>
      <c r="M3" s="22"/>
      <c r="N3" s="1"/>
      <c r="O3" s="1"/>
      <c r="P3" s="1"/>
      <c r="Q3" s="1"/>
      <c r="R3" s="1"/>
      <c r="S3" s="1">
        <v>1</v>
      </c>
      <c r="T3" s="1">
        <f t="shared" ref="T3:T7" si="0">SUM(B3:S3)</f>
        <v>3</v>
      </c>
      <c r="U3" s="1"/>
      <c r="V3" s="1">
        <v>1</v>
      </c>
    </row>
    <row r="4" spans="1:22" x14ac:dyDescent="0.45">
      <c r="A4" s="1" t="s">
        <v>1</v>
      </c>
      <c r="B4" s="22"/>
      <c r="C4" s="22"/>
      <c r="D4" s="22">
        <v>1</v>
      </c>
      <c r="E4" s="22">
        <v>1</v>
      </c>
      <c r="F4" s="22"/>
      <c r="G4" s="22"/>
      <c r="H4" s="22"/>
      <c r="I4" s="22"/>
      <c r="J4" s="22"/>
      <c r="K4" s="22">
        <v>1</v>
      </c>
      <c r="L4" s="22"/>
      <c r="M4" s="22"/>
      <c r="N4" s="1"/>
      <c r="O4" s="1"/>
      <c r="P4" s="1"/>
      <c r="Q4" s="1">
        <v>1</v>
      </c>
      <c r="R4" s="1"/>
      <c r="S4" s="1"/>
      <c r="T4" s="1">
        <f t="shared" si="0"/>
        <v>4</v>
      </c>
      <c r="U4" s="1"/>
      <c r="V4" s="1">
        <v>2</v>
      </c>
    </row>
    <row r="5" spans="1:22" x14ac:dyDescent="0.45">
      <c r="A5" s="1" t="s">
        <v>3</v>
      </c>
      <c r="B5" s="22"/>
      <c r="C5" s="22"/>
      <c r="D5" s="22">
        <v>1</v>
      </c>
      <c r="E5" s="22"/>
      <c r="F5" s="22">
        <v>1</v>
      </c>
      <c r="G5" s="22"/>
      <c r="H5" s="22">
        <v>1</v>
      </c>
      <c r="I5" s="22"/>
      <c r="J5" s="26"/>
      <c r="K5" s="22">
        <v>1</v>
      </c>
      <c r="L5" s="22"/>
      <c r="M5" s="22">
        <v>1</v>
      </c>
      <c r="N5" s="1"/>
      <c r="O5" s="1"/>
      <c r="P5" s="1">
        <v>1</v>
      </c>
      <c r="Q5" s="1"/>
      <c r="R5" s="1"/>
      <c r="S5" s="1"/>
      <c r="T5" s="1">
        <f t="shared" si="0"/>
        <v>6</v>
      </c>
      <c r="U5" s="1"/>
      <c r="V5" s="1">
        <v>2</v>
      </c>
    </row>
    <row r="6" spans="1:22" x14ac:dyDescent="0.45">
      <c r="A6" s="1" t="s">
        <v>4</v>
      </c>
      <c r="B6" s="22"/>
      <c r="C6" s="22">
        <v>1</v>
      </c>
      <c r="D6" s="22"/>
      <c r="E6" s="22"/>
      <c r="F6" s="22"/>
      <c r="G6" s="22">
        <v>1</v>
      </c>
      <c r="H6" s="22"/>
      <c r="I6" s="22">
        <v>1</v>
      </c>
      <c r="J6" s="22">
        <v>1</v>
      </c>
      <c r="K6" s="22"/>
      <c r="L6" s="22">
        <v>1</v>
      </c>
      <c r="M6" s="22"/>
      <c r="N6" s="1">
        <v>1</v>
      </c>
      <c r="O6" s="1">
        <v>1</v>
      </c>
      <c r="P6" s="1"/>
      <c r="Q6" s="1"/>
      <c r="R6" s="1">
        <v>1</v>
      </c>
      <c r="S6" s="1"/>
      <c r="T6" s="1">
        <f t="shared" si="0"/>
        <v>8</v>
      </c>
      <c r="U6" s="1"/>
      <c r="V6" s="1">
        <v>2</v>
      </c>
    </row>
    <row r="7" spans="1:22" x14ac:dyDescent="0.45">
      <c r="A7" s="1" t="s">
        <v>5</v>
      </c>
      <c r="B7" s="22"/>
      <c r="C7" s="22"/>
      <c r="D7" s="22"/>
      <c r="E7" s="22"/>
      <c r="F7" s="22"/>
      <c r="G7" s="22"/>
      <c r="H7" s="22">
        <v>1</v>
      </c>
      <c r="I7" s="22"/>
      <c r="J7" s="22"/>
      <c r="K7" s="22">
        <v>1</v>
      </c>
      <c r="L7" s="22"/>
      <c r="M7" s="22">
        <v>1</v>
      </c>
      <c r="N7" s="1"/>
      <c r="O7" s="1"/>
      <c r="P7" s="1"/>
      <c r="Q7" s="1"/>
      <c r="R7" s="1"/>
      <c r="S7" s="1"/>
      <c r="T7" s="1">
        <f t="shared" si="0"/>
        <v>3</v>
      </c>
      <c r="U7" s="1"/>
      <c r="V7" s="1">
        <v>2</v>
      </c>
    </row>
    <row r="9" spans="1:22" x14ac:dyDescent="0.45">
      <c r="T9">
        <f>SUM(T2:T7)</f>
        <v>28</v>
      </c>
      <c r="V9">
        <f>SUM(V2:V7)</f>
        <v>10</v>
      </c>
    </row>
    <row r="10" spans="1:22" x14ac:dyDescent="0.45">
      <c r="A10" s="1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E1CA-EA76-45D5-82AB-253F91C46B2D}">
  <dimension ref="A1:BD2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5" sqref="F15"/>
    </sheetView>
  </sheetViews>
  <sheetFormatPr baseColWidth="10" defaultColWidth="11.3984375" defaultRowHeight="14.25" x14ac:dyDescent="0.45"/>
  <cols>
    <col min="1" max="2" width="11.3984375" style="3"/>
    <col min="3" max="9" width="7.33203125" style="9" customWidth="1"/>
    <col min="10" max="10" width="11.3984375" style="3"/>
    <col min="11" max="12" width="4.3984375" style="3" customWidth="1"/>
    <col min="13" max="13" width="4.3984375" style="8" customWidth="1"/>
    <col min="14" max="16" width="4.3984375" style="3" customWidth="1"/>
    <col min="17" max="18" width="4.3984375" style="8" customWidth="1"/>
    <col min="19" max="20" width="4.3984375" style="3" customWidth="1"/>
    <col min="21" max="21" width="4.3984375" style="8" customWidth="1"/>
    <col min="22" max="24" width="4.3984375" style="3" customWidth="1"/>
    <col min="25" max="25" width="4.3984375" style="8" customWidth="1"/>
    <col min="26" max="27" width="4.3984375" style="3" customWidth="1"/>
    <col min="28" max="30" width="4.3984375" style="4" customWidth="1"/>
    <col min="31" max="31" width="4.3984375" style="3" customWidth="1"/>
    <col min="32" max="33" width="4.3984375" style="4" customWidth="1"/>
    <col min="34" max="42" width="4.3984375" style="3" customWidth="1"/>
    <col min="43" max="54" width="4" style="3" customWidth="1"/>
    <col min="55" max="95" width="4.86328125" style="3" customWidth="1"/>
    <col min="96" max="16384" width="11.3984375" style="3"/>
  </cols>
  <sheetData>
    <row r="1" spans="1:56" x14ac:dyDescent="0.45">
      <c r="A1" s="3" t="s">
        <v>8</v>
      </c>
      <c r="B1" s="3" t="s">
        <v>9</v>
      </c>
      <c r="C1" s="9" t="s">
        <v>74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K1" s="3">
        <v>1</v>
      </c>
      <c r="M1" s="8">
        <v>2</v>
      </c>
      <c r="N1" s="3">
        <v>3</v>
      </c>
      <c r="Q1" s="8">
        <v>4</v>
      </c>
      <c r="S1" s="3">
        <v>5</v>
      </c>
      <c r="U1" s="8">
        <v>6</v>
      </c>
      <c r="V1" s="3">
        <v>7</v>
      </c>
      <c r="Y1" s="8">
        <v>8</v>
      </c>
      <c r="Z1" s="3">
        <v>9</v>
      </c>
      <c r="AB1" s="4">
        <v>10</v>
      </c>
      <c r="AE1" s="3">
        <v>11</v>
      </c>
      <c r="AF1" s="4">
        <v>12</v>
      </c>
      <c r="AH1" s="3">
        <v>13</v>
      </c>
      <c r="AI1" s="3">
        <v>14</v>
      </c>
      <c r="AJ1" s="3">
        <v>15</v>
      </c>
      <c r="AL1" s="3">
        <v>16</v>
      </c>
      <c r="AN1" s="3">
        <v>17</v>
      </c>
      <c r="AO1" s="3">
        <v>18</v>
      </c>
      <c r="AR1" s="3" t="s">
        <v>60</v>
      </c>
      <c r="AS1" s="3" t="s">
        <v>63</v>
      </c>
      <c r="AT1" s="3" t="s">
        <v>59</v>
      </c>
      <c r="AU1" s="3" t="s">
        <v>62</v>
      </c>
      <c r="AV1" s="3" t="s">
        <v>61</v>
      </c>
      <c r="AW1" s="3" t="s">
        <v>64</v>
      </c>
      <c r="AY1" s="3" t="s">
        <v>60</v>
      </c>
      <c r="AZ1" s="3" t="s">
        <v>63</v>
      </c>
      <c r="BA1" s="3" t="s">
        <v>59</v>
      </c>
      <c r="BB1" s="3" t="s">
        <v>62</v>
      </c>
      <c r="BC1" s="3" t="s">
        <v>61</v>
      </c>
      <c r="BD1" s="3" t="s">
        <v>64</v>
      </c>
    </row>
    <row r="2" spans="1:56" x14ac:dyDescent="0.45">
      <c r="AR2" s="3">
        <f t="shared" ref="AR2:AW2" si="0">COUNTIF($K$3:$AP$3,AR1)</f>
        <v>3</v>
      </c>
      <c r="AS2" s="3">
        <f t="shared" si="0"/>
        <v>5</v>
      </c>
      <c r="AT2" s="3">
        <f t="shared" si="0"/>
        <v>4</v>
      </c>
      <c r="AU2" s="3">
        <f t="shared" si="0"/>
        <v>6</v>
      </c>
      <c r="AV2" s="3">
        <f t="shared" si="0"/>
        <v>8</v>
      </c>
      <c r="AW2" s="3">
        <f t="shared" si="0"/>
        <v>6</v>
      </c>
    </row>
    <row r="3" spans="1:56" x14ac:dyDescent="0.45">
      <c r="C3" s="9" t="s">
        <v>67</v>
      </c>
      <c r="D3" s="9" t="s">
        <v>60</v>
      </c>
      <c r="E3" s="9" t="s">
        <v>63</v>
      </c>
      <c r="F3" s="9" t="s">
        <v>59</v>
      </c>
      <c r="G3" s="9" t="s">
        <v>62</v>
      </c>
      <c r="H3" s="9" t="s">
        <v>61</v>
      </c>
      <c r="I3" s="9" t="s">
        <v>64</v>
      </c>
      <c r="K3" s="3" t="s">
        <v>60</v>
      </c>
      <c r="L3" s="3" t="s">
        <v>59</v>
      </c>
      <c r="M3" s="8" t="s">
        <v>61</v>
      </c>
      <c r="N3" s="3" t="s">
        <v>63</v>
      </c>
      <c r="O3" s="3" t="s">
        <v>62</v>
      </c>
      <c r="P3" s="3" t="s">
        <v>64</v>
      </c>
      <c r="Q3" s="8" t="s">
        <v>60</v>
      </c>
      <c r="R3" s="8" t="s">
        <v>59</v>
      </c>
      <c r="S3" s="3" t="s">
        <v>61</v>
      </c>
      <c r="T3" s="3" t="s">
        <v>64</v>
      </c>
      <c r="U3" s="8" t="s">
        <v>62</v>
      </c>
      <c r="V3" s="3" t="s">
        <v>63</v>
      </c>
      <c r="W3" s="3" t="s">
        <v>62</v>
      </c>
      <c r="X3" s="3" t="s">
        <v>64</v>
      </c>
      <c r="Y3" s="8" t="s">
        <v>61</v>
      </c>
      <c r="Z3" s="3" t="s">
        <v>59</v>
      </c>
      <c r="AA3" s="3" t="s">
        <v>61</v>
      </c>
      <c r="AB3" s="4" t="s">
        <v>63</v>
      </c>
      <c r="AC3" s="4" t="s">
        <v>62</v>
      </c>
      <c r="AD3" s="4" t="s">
        <v>64</v>
      </c>
      <c r="AE3" s="3" t="s">
        <v>61</v>
      </c>
      <c r="AF3" s="4" t="s">
        <v>63</v>
      </c>
      <c r="AG3" s="4" t="s">
        <v>64</v>
      </c>
      <c r="AH3" s="3" t="s">
        <v>61</v>
      </c>
      <c r="AI3" s="3" t="s">
        <v>61</v>
      </c>
      <c r="AJ3" s="3" t="s">
        <v>62</v>
      </c>
      <c r="AK3" s="3" t="s">
        <v>64</v>
      </c>
      <c r="AL3" s="3" t="s">
        <v>63</v>
      </c>
      <c r="AM3" s="3" t="s">
        <v>62</v>
      </c>
      <c r="AN3" s="3" t="s">
        <v>61</v>
      </c>
      <c r="AO3" s="3" t="s">
        <v>60</v>
      </c>
      <c r="AP3" s="3" t="s">
        <v>59</v>
      </c>
      <c r="AR3" s="6">
        <v>1</v>
      </c>
      <c r="AS3" s="6">
        <v>1</v>
      </c>
      <c r="AT3" s="6">
        <v>1.5</v>
      </c>
      <c r="AU3" s="6">
        <v>2</v>
      </c>
      <c r="AV3" s="6">
        <v>2.5</v>
      </c>
      <c r="AW3" s="6">
        <v>2</v>
      </c>
      <c r="AY3" s="6">
        <v>1</v>
      </c>
      <c r="AZ3" s="6">
        <v>1</v>
      </c>
      <c r="BA3" s="6">
        <v>1.5</v>
      </c>
      <c r="BB3" s="6">
        <v>2</v>
      </c>
      <c r="BC3" s="6">
        <v>2.5</v>
      </c>
      <c r="BD3" s="6">
        <v>2</v>
      </c>
    </row>
    <row r="4" spans="1:56" x14ac:dyDescent="0.45">
      <c r="A4" s="11" t="s">
        <v>87</v>
      </c>
      <c r="B4" s="11" t="s">
        <v>88</v>
      </c>
      <c r="C4" s="12">
        <f t="shared" ref="C4:C26" si="1">SUM(D4:I4)</f>
        <v>0</v>
      </c>
      <c r="D4" s="13">
        <f t="shared" ref="D4:I26" si="2">CEILING(AY4,0.25*SIGN(AY4))</f>
        <v>0</v>
      </c>
      <c r="E4" s="13">
        <f t="shared" ref="E4:I16" si="3">CEILING(AZ4,0.25*SIGN(AZ4))</f>
        <v>0</v>
      </c>
      <c r="F4" s="13">
        <f t="shared" si="3"/>
        <v>0</v>
      </c>
      <c r="G4" s="13">
        <f t="shared" si="3"/>
        <v>0</v>
      </c>
      <c r="H4" s="13">
        <f t="shared" si="3"/>
        <v>0</v>
      </c>
      <c r="I4" s="13">
        <f t="shared" si="3"/>
        <v>0</v>
      </c>
      <c r="J4" s="5">
        <f t="shared" ref="J4:J26" si="4">SUM(AY4:BD4)</f>
        <v>0</v>
      </c>
      <c r="AR4" s="3">
        <f t="shared" ref="AR4:AR26" si="5">SUM(K4,Q4,AO4)</f>
        <v>0</v>
      </c>
      <c r="AS4" s="3">
        <f t="shared" ref="AS4:AS26" si="6">SUM(N4,V4,AB4,AF4,AL4)</f>
        <v>0</v>
      </c>
      <c r="AT4" s="3">
        <f t="shared" ref="AT4:AT26" si="7">SUM(L4,R4,Z4,AP4)</f>
        <v>0</v>
      </c>
      <c r="AU4" s="3">
        <f t="shared" ref="AU4:AU26" si="8">SUM(O4,U4,AC4,AJ4,AM4,W4)</f>
        <v>0</v>
      </c>
      <c r="AV4" s="3">
        <f t="shared" ref="AV4:AV26" si="9">SUM(M4,S4,Y4,AA4,AE4,AI4,AN4,AH4)</f>
        <v>0</v>
      </c>
      <c r="AW4" s="3">
        <f t="shared" ref="AW4:AW26" si="10">SUM(P4,T4,X4,AD4,AG4,AK4)</f>
        <v>0</v>
      </c>
      <c r="AY4" s="3">
        <f t="shared" ref="AY4:BD26" si="11">AR$3*AR4/AR$2</f>
        <v>0</v>
      </c>
      <c r="AZ4" s="3">
        <f t="shared" ref="AZ4:BD16" si="12">AS$3*AS4/AS$2</f>
        <v>0</v>
      </c>
      <c r="BA4" s="3">
        <f t="shared" si="12"/>
        <v>0</v>
      </c>
      <c r="BB4" s="3">
        <f t="shared" si="12"/>
        <v>0</v>
      </c>
      <c r="BC4" s="3">
        <f t="shared" si="12"/>
        <v>0</v>
      </c>
      <c r="BD4" s="3">
        <f t="shared" si="12"/>
        <v>0</v>
      </c>
    </row>
    <row r="5" spans="1:56" s="8" customFormat="1" x14ac:dyDescent="0.45">
      <c r="A5" s="8" t="s">
        <v>89</v>
      </c>
      <c r="B5" s="8" t="s">
        <v>90</v>
      </c>
      <c r="C5" s="14">
        <f t="shared" si="1"/>
        <v>0</v>
      </c>
      <c r="D5" s="15">
        <f t="shared" si="2"/>
        <v>0</v>
      </c>
      <c r="E5" s="15">
        <f t="shared" si="3"/>
        <v>0</v>
      </c>
      <c r="F5" s="15">
        <f t="shared" si="3"/>
        <v>0</v>
      </c>
      <c r="G5" s="15">
        <f t="shared" si="3"/>
        <v>0</v>
      </c>
      <c r="H5" s="15">
        <f t="shared" si="3"/>
        <v>0</v>
      </c>
      <c r="I5" s="15">
        <f t="shared" si="3"/>
        <v>0</v>
      </c>
      <c r="J5" s="16">
        <f t="shared" si="4"/>
        <v>0</v>
      </c>
      <c r="AR5" s="8">
        <f t="shared" si="5"/>
        <v>0</v>
      </c>
      <c r="AS5" s="8">
        <f t="shared" si="6"/>
        <v>0</v>
      </c>
      <c r="AT5" s="8">
        <f t="shared" si="7"/>
        <v>0</v>
      </c>
      <c r="AU5" s="8">
        <f t="shared" si="8"/>
        <v>0</v>
      </c>
      <c r="AV5" s="8">
        <f t="shared" si="9"/>
        <v>0</v>
      </c>
      <c r="AW5" s="8">
        <f t="shared" si="10"/>
        <v>0</v>
      </c>
      <c r="AY5" s="8">
        <f t="shared" si="11"/>
        <v>0</v>
      </c>
      <c r="AZ5" s="8">
        <f t="shared" si="12"/>
        <v>0</v>
      </c>
      <c r="BA5" s="8">
        <f t="shared" si="12"/>
        <v>0</v>
      </c>
      <c r="BB5" s="8">
        <f t="shared" si="12"/>
        <v>0</v>
      </c>
      <c r="BC5" s="8">
        <f t="shared" si="12"/>
        <v>0</v>
      </c>
      <c r="BD5" s="8">
        <f t="shared" si="12"/>
        <v>0</v>
      </c>
    </row>
    <row r="6" spans="1:56" x14ac:dyDescent="0.45">
      <c r="A6" s="11" t="s">
        <v>91</v>
      </c>
      <c r="B6" s="11" t="s">
        <v>92</v>
      </c>
      <c r="C6" s="12">
        <f t="shared" si="1"/>
        <v>0</v>
      </c>
      <c r="D6" s="13">
        <f t="shared" si="2"/>
        <v>0</v>
      </c>
      <c r="E6" s="13">
        <f t="shared" si="3"/>
        <v>0</v>
      </c>
      <c r="F6" s="13">
        <f t="shared" si="3"/>
        <v>0</v>
      </c>
      <c r="G6" s="13">
        <f t="shared" si="3"/>
        <v>0</v>
      </c>
      <c r="H6" s="13">
        <f t="shared" si="3"/>
        <v>0</v>
      </c>
      <c r="I6" s="13">
        <f t="shared" si="3"/>
        <v>0</v>
      </c>
      <c r="J6" s="5">
        <f t="shared" si="4"/>
        <v>0</v>
      </c>
      <c r="AR6" s="3">
        <f t="shared" si="5"/>
        <v>0</v>
      </c>
      <c r="AS6" s="3">
        <f t="shared" si="6"/>
        <v>0</v>
      </c>
      <c r="AT6" s="3">
        <f t="shared" si="7"/>
        <v>0</v>
      </c>
      <c r="AU6" s="3">
        <f t="shared" si="8"/>
        <v>0</v>
      </c>
      <c r="AV6" s="3">
        <f t="shared" si="9"/>
        <v>0</v>
      </c>
      <c r="AW6" s="3">
        <f t="shared" si="10"/>
        <v>0</v>
      </c>
      <c r="AY6" s="3">
        <f t="shared" si="11"/>
        <v>0</v>
      </c>
      <c r="AZ6" s="3">
        <f t="shared" si="12"/>
        <v>0</v>
      </c>
      <c r="BA6" s="3">
        <f t="shared" si="12"/>
        <v>0</v>
      </c>
      <c r="BB6" s="3">
        <f t="shared" si="12"/>
        <v>0</v>
      </c>
      <c r="BC6" s="3">
        <f t="shared" si="12"/>
        <v>0</v>
      </c>
      <c r="BD6" s="3">
        <f t="shared" si="12"/>
        <v>0</v>
      </c>
    </row>
    <row r="7" spans="1:56" s="8" customFormat="1" x14ac:dyDescent="0.45">
      <c r="A7" s="8" t="s">
        <v>93</v>
      </c>
      <c r="B7" s="8" t="s">
        <v>94</v>
      </c>
      <c r="C7" s="14">
        <f t="shared" si="1"/>
        <v>0</v>
      </c>
      <c r="D7" s="15">
        <f t="shared" si="2"/>
        <v>0</v>
      </c>
      <c r="E7" s="15">
        <f t="shared" si="3"/>
        <v>0</v>
      </c>
      <c r="F7" s="15">
        <f t="shared" si="3"/>
        <v>0</v>
      </c>
      <c r="G7" s="15">
        <f t="shared" si="3"/>
        <v>0</v>
      </c>
      <c r="H7" s="15">
        <f t="shared" si="3"/>
        <v>0</v>
      </c>
      <c r="I7" s="15">
        <f t="shared" si="3"/>
        <v>0</v>
      </c>
      <c r="J7" s="16">
        <f t="shared" si="4"/>
        <v>0</v>
      </c>
      <c r="AR7" s="8">
        <f t="shared" si="5"/>
        <v>0</v>
      </c>
      <c r="AS7" s="8">
        <f t="shared" si="6"/>
        <v>0</v>
      </c>
      <c r="AT7" s="8">
        <f t="shared" si="7"/>
        <v>0</v>
      </c>
      <c r="AU7" s="8">
        <f t="shared" si="8"/>
        <v>0</v>
      </c>
      <c r="AV7" s="8">
        <f t="shared" si="9"/>
        <v>0</v>
      </c>
      <c r="AW7" s="8">
        <f t="shared" si="10"/>
        <v>0</v>
      </c>
      <c r="AY7" s="8">
        <f t="shared" si="11"/>
        <v>0</v>
      </c>
      <c r="AZ7" s="8">
        <f t="shared" si="12"/>
        <v>0</v>
      </c>
      <c r="BA7" s="8">
        <f t="shared" si="12"/>
        <v>0</v>
      </c>
      <c r="BB7" s="8">
        <f t="shared" si="12"/>
        <v>0</v>
      </c>
      <c r="BC7" s="8">
        <f t="shared" si="12"/>
        <v>0</v>
      </c>
      <c r="BD7" s="8">
        <f t="shared" si="12"/>
        <v>0</v>
      </c>
    </row>
    <row r="8" spans="1:56" x14ac:dyDescent="0.45">
      <c r="A8" s="11" t="s">
        <v>95</v>
      </c>
      <c r="B8" s="11" t="s">
        <v>96</v>
      </c>
      <c r="C8" s="12">
        <f t="shared" si="1"/>
        <v>0</v>
      </c>
      <c r="D8" s="13">
        <f t="shared" si="2"/>
        <v>0</v>
      </c>
      <c r="E8" s="13">
        <f t="shared" si="3"/>
        <v>0</v>
      </c>
      <c r="F8" s="13">
        <f t="shared" si="3"/>
        <v>0</v>
      </c>
      <c r="G8" s="13">
        <f t="shared" si="3"/>
        <v>0</v>
      </c>
      <c r="H8" s="13">
        <f t="shared" si="3"/>
        <v>0</v>
      </c>
      <c r="I8" s="13">
        <f t="shared" si="3"/>
        <v>0</v>
      </c>
      <c r="J8" s="5">
        <f t="shared" si="4"/>
        <v>0</v>
      </c>
      <c r="AF8" s="7"/>
      <c r="AG8" s="7"/>
      <c r="AR8" s="3">
        <f t="shared" si="5"/>
        <v>0</v>
      </c>
      <c r="AS8" s="3">
        <f t="shared" si="6"/>
        <v>0</v>
      </c>
      <c r="AT8" s="3">
        <f t="shared" si="7"/>
        <v>0</v>
      </c>
      <c r="AU8" s="3">
        <f t="shared" si="8"/>
        <v>0</v>
      </c>
      <c r="AV8" s="3">
        <f t="shared" si="9"/>
        <v>0</v>
      </c>
      <c r="AW8" s="3">
        <f t="shared" si="10"/>
        <v>0</v>
      </c>
      <c r="AY8" s="3">
        <f t="shared" si="11"/>
        <v>0</v>
      </c>
      <c r="AZ8" s="3">
        <f t="shared" si="12"/>
        <v>0</v>
      </c>
      <c r="BA8" s="3">
        <f t="shared" si="12"/>
        <v>0</v>
      </c>
      <c r="BB8" s="3">
        <f t="shared" si="12"/>
        <v>0</v>
      </c>
      <c r="BC8" s="3">
        <f t="shared" si="12"/>
        <v>0</v>
      </c>
      <c r="BD8" s="3">
        <f t="shared" si="12"/>
        <v>0</v>
      </c>
    </row>
    <row r="9" spans="1:56" s="8" customFormat="1" x14ac:dyDescent="0.45">
      <c r="A9" s="8" t="s">
        <v>97</v>
      </c>
      <c r="B9" s="8" t="s">
        <v>22</v>
      </c>
      <c r="C9" s="14">
        <f t="shared" si="1"/>
        <v>0</v>
      </c>
      <c r="D9" s="15">
        <f t="shared" si="2"/>
        <v>0</v>
      </c>
      <c r="E9" s="15">
        <f t="shared" si="3"/>
        <v>0</v>
      </c>
      <c r="F9" s="15">
        <f t="shared" si="3"/>
        <v>0</v>
      </c>
      <c r="G9" s="15">
        <f t="shared" si="3"/>
        <v>0</v>
      </c>
      <c r="H9" s="15">
        <f t="shared" si="3"/>
        <v>0</v>
      </c>
      <c r="I9" s="15">
        <f t="shared" si="3"/>
        <v>0</v>
      </c>
      <c r="J9" s="16">
        <f t="shared" si="4"/>
        <v>0</v>
      </c>
      <c r="AR9" s="8">
        <f t="shared" si="5"/>
        <v>0</v>
      </c>
      <c r="AS9" s="8">
        <f t="shared" si="6"/>
        <v>0</v>
      </c>
      <c r="AT9" s="8">
        <f t="shared" si="7"/>
        <v>0</v>
      </c>
      <c r="AU9" s="8">
        <f t="shared" si="8"/>
        <v>0</v>
      </c>
      <c r="AV9" s="8">
        <f t="shared" si="9"/>
        <v>0</v>
      </c>
      <c r="AW9" s="8">
        <f t="shared" si="10"/>
        <v>0</v>
      </c>
      <c r="AY9" s="8">
        <f t="shared" si="11"/>
        <v>0</v>
      </c>
      <c r="AZ9" s="8">
        <f t="shared" si="12"/>
        <v>0</v>
      </c>
      <c r="BA9" s="8">
        <f t="shared" si="12"/>
        <v>0</v>
      </c>
      <c r="BB9" s="8">
        <f t="shared" si="12"/>
        <v>0</v>
      </c>
      <c r="BC9" s="8">
        <f t="shared" si="12"/>
        <v>0</v>
      </c>
      <c r="BD9" s="8">
        <f t="shared" si="12"/>
        <v>0</v>
      </c>
    </row>
    <row r="10" spans="1:56" x14ac:dyDescent="0.45">
      <c r="A10" s="11" t="s">
        <v>98</v>
      </c>
      <c r="B10" s="11" t="s">
        <v>99</v>
      </c>
      <c r="C10" s="12">
        <f t="shared" si="1"/>
        <v>0</v>
      </c>
      <c r="D10" s="13">
        <f t="shared" si="2"/>
        <v>0</v>
      </c>
      <c r="E10" s="13">
        <f t="shared" si="3"/>
        <v>0</v>
      </c>
      <c r="F10" s="13">
        <f t="shared" si="3"/>
        <v>0</v>
      </c>
      <c r="G10" s="13">
        <f t="shared" si="3"/>
        <v>0</v>
      </c>
      <c r="H10" s="13">
        <f t="shared" si="3"/>
        <v>0</v>
      </c>
      <c r="I10" s="13">
        <f t="shared" si="3"/>
        <v>0</v>
      </c>
      <c r="J10" s="5">
        <f t="shared" si="4"/>
        <v>0</v>
      </c>
      <c r="AF10" s="7"/>
      <c r="AG10" s="7"/>
      <c r="AR10" s="3">
        <f t="shared" si="5"/>
        <v>0</v>
      </c>
      <c r="AS10" s="3">
        <f t="shared" si="6"/>
        <v>0</v>
      </c>
      <c r="AT10" s="3">
        <f t="shared" si="7"/>
        <v>0</v>
      </c>
      <c r="AU10" s="3">
        <f t="shared" si="8"/>
        <v>0</v>
      </c>
      <c r="AV10" s="3">
        <f t="shared" si="9"/>
        <v>0</v>
      </c>
      <c r="AW10" s="3">
        <f t="shared" si="10"/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3">
        <f t="shared" si="12"/>
        <v>0</v>
      </c>
      <c r="BC10" s="3">
        <f t="shared" si="12"/>
        <v>0</v>
      </c>
      <c r="BD10" s="3">
        <f t="shared" si="12"/>
        <v>0</v>
      </c>
    </row>
    <row r="11" spans="1:56" s="8" customFormat="1" x14ac:dyDescent="0.45">
      <c r="A11" s="8" t="s">
        <v>100</v>
      </c>
      <c r="B11" s="8" t="s">
        <v>13</v>
      </c>
      <c r="C11" s="14">
        <f t="shared" si="1"/>
        <v>0</v>
      </c>
      <c r="D11" s="15">
        <f t="shared" si="2"/>
        <v>0</v>
      </c>
      <c r="E11" s="15">
        <f t="shared" si="3"/>
        <v>0</v>
      </c>
      <c r="F11" s="15">
        <f t="shared" si="3"/>
        <v>0</v>
      </c>
      <c r="G11" s="15">
        <f t="shared" si="3"/>
        <v>0</v>
      </c>
      <c r="H11" s="15">
        <f t="shared" si="3"/>
        <v>0</v>
      </c>
      <c r="I11" s="15">
        <f t="shared" si="3"/>
        <v>0</v>
      </c>
      <c r="J11" s="16">
        <f t="shared" si="4"/>
        <v>0</v>
      </c>
      <c r="AR11" s="8">
        <f t="shared" si="5"/>
        <v>0</v>
      </c>
      <c r="AS11" s="8">
        <f t="shared" si="6"/>
        <v>0</v>
      </c>
      <c r="AT11" s="8">
        <f t="shared" si="7"/>
        <v>0</v>
      </c>
      <c r="AU11" s="8">
        <f t="shared" si="8"/>
        <v>0</v>
      </c>
      <c r="AV11" s="8">
        <f t="shared" si="9"/>
        <v>0</v>
      </c>
      <c r="AW11" s="8">
        <f t="shared" si="10"/>
        <v>0</v>
      </c>
      <c r="AY11" s="8">
        <f t="shared" si="11"/>
        <v>0</v>
      </c>
      <c r="AZ11" s="8">
        <f t="shared" si="12"/>
        <v>0</v>
      </c>
      <c r="BA11" s="8">
        <f t="shared" si="12"/>
        <v>0</v>
      </c>
      <c r="BB11" s="8">
        <f t="shared" si="12"/>
        <v>0</v>
      </c>
      <c r="BC11" s="8">
        <f t="shared" si="12"/>
        <v>0</v>
      </c>
      <c r="BD11" s="8">
        <f t="shared" si="12"/>
        <v>0</v>
      </c>
    </row>
    <row r="12" spans="1:56" x14ac:dyDescent="0.45">
      <c r="A12" s="11" t="s">
        <v>101</v>
      </c>
      <c r="B12" s="11" t="s">
        <v>44</v>
      </c>
      <c r="C12" s="12">
        <f t="shared" si="1"/>
        <v>0</v>
      </c>
      <c r="D12" s="13">
        <f t="shared" si="2"/>
        <v>0</v>
      </c>
      <c r="E12" s="13">
        <f t="shared" si="3"/>
        <v>0</v>
      </c>
      <c r="F12" s="13">
        <f t="shared" si="3"/>
        <v>0</v>
      </c>
      <c r="G12" s="13">
        <f t="shared" si="3"/>
        <v>0</v>
      </c>
      <c r="H12" s="13">
        <f t="shared" si="3"/>
        <v>0</v>
      </c>
      <c r="I12" s="13">
        <f t="shared" si="3"/>
        <v>0</v>
      </c>
      <c r="J12" s="5">
        <f t="shared" si="4"/>
        <v>0</v>
      </c>
      <c r="AR12" s="3">
        <f t="shared" si="5"/>
        <v>0</v>
      </c>
      <c r="AS12" s="3">
        <f t="shared" si="6"/>
        <v>0</v>
      </c>
      <c r="AT12" s="3">
        <f t="shared" si="7"/>
        <v>0</v>
      </c>
      <c r="AU12" s="3">
        <f t="shared" si="8"/>
        <v>0</v>
      </c>
      <c r="AV12" s="3">
        <f t="shared" si="9"/>
        <v>0</v>
      </c>
      <c r="AW12" s="3">
        <f t="shared" si="10"/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3">
        <f t="shared" si="12"/>
        <v>0</v>
      </c>
      <c r="BC12" s="3">
        <f t="shared" si="12"/>
        <v>0</v>
      </c>
      <c r="BD12" s="3">
        <f t="shared" si="12"/>
        <v>0</v>
      </c>
    </row>
    <row r="13" spans="1:56" s="8" customFormat="1" x14ac:dyDescent="0.45">
      <c r="A13" s="8" t="s">
        <v>102</v>
      </c>
      <c r="B13" s="8" t="s">
        <v>103</v>
      </c>
      <c r="C13" s="14">
        <f t="shared" si="1"/>
        <v>0</v>
      </c>
      <c r="D13" s="15">
        <f t="shared" si="2"/>
        <v>0</v>
      </c>
      <c r="E13" s="15">
        <f t="shared" si="3"/>
        <v>0</v>
      </c>
      <c r="F13" s="15">
        <f t="shared" si="3"/>
        <v>0</v>
      </c>
      <c r="G13" s="15">
        <f t="shared" si="3"/>
        <v>0</v>
      </c>
      <c r="H13" s="15">
        <f t="shared" si="3"/>
        <v>0</v>
      </c>
      <c r="I13" s="15">
        <f t="shared" si="3"/>
        <v>0</v>
      </c>
      <c r="J13" s="16">
        <f t="shared" si="4"/>
        <v>0</v>
      </c>
      <c r="AR13" s="8">
        <f t="shared" si="5"/>
        <v>0</v>
      </c>
      <c r="AS13" s="8">
        <f t="shared" si="6"/>
        <v>0</v>
      </c>
      <c r="AT13" s="8">
        <f t="shared" si="7"/>
        <v>0</v>
      </c>
      <c r="AU13" s="8">
        <f t="shared" si="8"/>
        <v>0</v>
      </c>
      <c r="AV13" s="8">
        <f t="shared" si="9"/>
        <v>0</v>
      </c>
      <c r="AW13" s="8">
        <f t="shared" si="10"/>
        <v>0</v>
      </c>
      <c r="AY13" s="8">
        <f t="shared" si="11"/>
        <v>0</v>
      </c>
      <c r="AZ13" s="8">
        <f t="shared" si="12"/>
        <v>0</v>
      </c>
      <c r="BA13" s="8">
        <f t="shared" si="12"/>
        <v>0</v>
      </c>
      <c r="BB13" s="8">
        <f t="shared" si="12"/>
        <v>0</v>
      </c>
      <c r="BC13" s="8">
        <f t="shared" si="12"/>
        <v>0</v>
      </c>
      <c r="BD13" s="8">
        <f t="shared" si="12"/>
        <v>0</v>
      </c>
    </row>
    <row r="14" spans="1:56" x14ac:dyDescent="0.45">
      <c r="A14" s="11" t="s">
        <v>104</v>
      </c>
      <c r="B14" s="11" t="s">
        <v>105</v>
      </c>
      <c r="C14" s="12">
        <f t="shared" si="1"/>
        <v>0</v>
      </c>
      <c r="D14" s="13">
        <f t="shared" si="2"/>
        <v>0</v>
      </c>
      <c r="E14" s="13">
        <f t="shared" si="3"/>
        <v>0</v>
      </c>
      <c r="F14" s="13">
        <f t="shared" si="3"/>
        <v>0</v>
      </c>
      <c r="G14" s="13">
        <f t="shared" si="3"/>
        <v>0</v>
      </c>
      <c r="H14" s="13">
        <f t="shared" si="3"/>
        <v>0</v>
      </c>
      <c r="I14" s="13">
        <f t="shared" si="3"/>
        <v>0</v>
      </c>
      <c r="J14" s="5">
        <f t="shared" si="4"/>
        <v>0</v>
      </c>
      <c r="AR14" s="3">
        <f t="shared" si="5"/>
        <v>0</v>
      </c>
      <c r="AS14" s="3">
        <f t="shared" si="6"/>
        <v>0</v>
      </c>
      <c r="AT14" s="3">
        <f t="shared" si="7"/>
        <v>0</v>
      </c>
      <c r="AU14" s="3">
        <f t="shared" si="8"/>
        <v>0</v>
      </c>
      <c r="AV14" s="3">
        <f t="shared" si="9"/>
        <v>0</v>
      </c>
      <c r="AW14" s="3">
        <f t="shared" si="10"/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3">
        <f t="shared" si="12"/>
        <v>0</v>
      </c>
      <c r="BC14" s="3">
        <f t="shared" si="12"/>
        <v>0</v>
      </c>
      <c r="BD14" s="3">
        <f t="shared" si="12"/>
        <v>0</v>
      </c>
    </row>
    <row r="15" spans="1:56" s="8" customFormat="1" x14ac:dyDescent="0.45">
      <c r="A15" s="8" t="s">
        <v>106</v>
      </c>
      <c r="B15" s="8" t="s">
        <v>107</v>
      </c>
      <c r="C15" s="14">
        <f t="shared" si="1"/>
        <v>0</v>
      </c>
      <c r="D15" s="15">
        <f t="shared" si="2"/>
        <v>0</v>
      </c>
      <c r="E15" s="15">
        <f t="shared" si="3"/>
        <v>0</v>
      </c>
      <c r="F15" s="15">
        <f t="shared" si="3"/>
        <v>0</v>
      </c>
      <c r="G15" s="15">
        <f t="shared" si="3"/>
        <v>0</v>
      </c>
      <c r="H15" s="15">
        <f t="shared" si="3"/>
        <v>0</v>
      </c>
      <c r="I15" s="15">
        <f t="shared" si="3"/>
        <v>0</v>
      </c>
      <c r="J15" s="16">
        <f t="shared" si="4"/>
        <v>0</v>
      </c>
      <c r="AR15" s="8">
        <f t="shared" si="5"/>
        <v>0</v>
      </c>
      <c r="AS15" s="8">
        <f t="shared" si="6"/>
        <v>0</v>
      </c>
      <c r="AT15" s="8">
        <f t="shared" si="7"/>
        <v>0</v>
      </c>
      <c r="AU15" s="8">
        <f t="shared" si="8"/>
        <v>0</v>
      </c>
      <c r="AV15" s="8">
        <f t="shared" si="9"/>
        <v>0</v>
      </c>
      <c r="AW15" s="8">
        <f t="shared" si="10"/>
        <v>0</v>
      </c>
      <c r="AY15" s="8">
        <f t="shared" si="11"/>
        <v>0</v>
      </c>
      <c r="AZ15" s="8">
        <f t="shared" si="12"/>
        <v>0</v>
      </c>
      <c r="BA15" s="8">
        <f t="shared" si="12"/>
        <v>0</v>
      </c>
      <c r="BB15" s="8">
        <f t="shared" si="12"/>
        <v>0</v>
      </c>
      <c r="BC15" s="8">
        <f t="shared" si="12"/>
        <v>0</v>
      </c>
      <c r="BD15" s="8">
        <f t="shared" si="12"/>
        <v>0</v>
      </c>
    </row>
    <row r="16" spans="1:56" x14ac:dyDescent="0.45">
      <c r="A16" s="11" t="s">
        <v>108</v>
      </c>
      <c r="B16" s="11" t="s">
        <v>109</v>
      </c>
      <c r="C16" s="12">
        <f t="shared" si="1"/>
        <v>0</v>
      </c>
      <c r="D16" s="13">
        <f t="shared" si="2"/>
        <v>0</v>
      </c>
      <c r="E16" s="13">
        <f t="shared" si="3"/>
        <v>0</v>
      </c>
      <c r="F16" s="13">
        <f t="shared" si="3"/>
        <v>0</v>
      </c>
      <c r="G16" s="13">
        <f t="shared" si="3"/>
        <v>0</v>
      </c>
      <c r="H16" s="13">
        <f t="shared" si="3"/>
        <v>0</v>
      </c>
      <c r="I16" s="13">
        <f t="shared" si="3"/>
        <v>0</v>
      </c>
      <c r="J16" s="5">
        <f t="shared" si="4"/>
        <v>0</v>
      </c>
      <c r="AB16" s="7"/>
      <c r="AC16" s="7"/>
      <c r="AD16" s="7"/>
      <c r="AF16" s="7"/>
      <c r="AG16" s="7"/>
      <c r="AR16" s="3">
        <f t="shared" si="5"/>
        <v>0</v>
      </c>
      <c r="AS16" s="3">
        <f t="shared" si="6"/>
        <v>0</v>
      </c>
      <c r="AT16" s="3">
        <f t="shared" si="7"/>
        <v>0</v>
      </c>
      <c r="AU16" s="3">
        <f t="shared" si="8"/>
        <v>0</v>
      </c>
      <c r="AV16" s="3">
        <f t="shared" si="9"/>
        <v>0</v>
      </c>
      <c r="AW16" s="3">
        <f t="shared" si="10"/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3">
        <f t="shared" si="12"/>
        <v>0</v>
      </c>
      <c r="BC16" s="3">
        <f t="shared" si="12"/>
        <v>0</v>
      </c>
      <c r="BD16" s="3">
        <f t="shared" si="12"/>
        <v>0</v>
      </c>
    </row>
    <row r="17" spans="1:56" s="8" customFormat="1" x14ac:dyDescent="0.45">
      <c r="A17" s="8" t="s">
        <v>110</v>
      </c>
      <c r="B17" s="8" t="s">
        <v>111</v>
      </c>
      <c r="C17" s="14">
        <f t="shared" si="1"/>
        <v>0</v>
      </c>
      <c r="D17" s="15">
        <f t="shared" si="2"/>
        <v>0</v>
      </c>
      <c r="E17" s="15">
        <f t="shared" si="2"/>
        <v>0</v>
      </c>
      <c r="F17" s="15">
        <f t="shared" si="2"/>
        <v>0</v>
      </c>
      <c r="G17" s="15">
        <f t="shared" si="2"/>
        <v>0</v>
      </c>
      <c r="H17" s="15">
        <f t="shared" si="2"/>
        <v>0</v>
      </c>
      <c r="I17" s="15">
        <f t="shared" si="2"/>
        <v>0</v>
      </c>
      <c r="J17" s="16">
        <f t="shared" si="4"/>
        <v>0</v>
      </c>
      <c r="AR17" s="8">
        <f t="shared" si="5"/>
        <v>0</v>
      </c>
      <c r="AS17" s="8">
        <f t="shared" si="6"/>
        <v>0</v>
      </c>
      <c r="AT17" s="8">
        <f t="shared" si="7"/>
        <v>0</v>
      </c>
      <c r="AU17" s="8">
        <f t="shared" si="8"/>
        <v>0</v>
      </c>
      <c r="AV17" s="8">
        <f t="shared" si="9"/>
        <v>0</v>
      </c>
      <c r="AW17" s="8">
        <f t="shared" si="10"/>
        <v>0</v>
      </c>
      <c r="AY17" s="8">
        <f t="shared" si="11"/>
        <v>0</v>
      </c>
      <c r="AZ17" s="8">
        <f t="shared" si="11"/>
        <v>0</v>
      </c>
      <c r="BA17" s="8">
        <f t="shared" si="11"/>
        <v>0</v>
      </c>
      <c r="BB17" s="8">
        <f t="shared" si="11"/>
        <v>0</v>
      </c>
      <c r="BC17" s="8">
        <f t="shared" si="11"/>
        <v>0</v>
      </c>
      <c r="BD17" s="8">
        <f t="shared" si="11"/>
        <v>0</v>
      </c>
    </row>
    <row r="18" spans="1:56" x14ac:dyDescent="0.45">
      <c r="A18" s="11" t="s">
        <v>112</v>
      </c>
      <c r="B18" s="11" t="s">
        <v>113</v>
      </c>
      <c r="C18" s="12">
        <f t="shared" si="1"/>
        <v>0</v>
      </c>
      <c r="D18" s="13">
        <f t="shared" si="2"/>
        <v>0</v>
      </c>
      <c r="E18" s="13">
        <f t="shared" si="2"/>
        <v>0</v>
      </c>
      <c r="F18" s="13">
        <f t="shared" si="2"/>
        <v>0</v>
      </c>
      <c r="G18" s="13">
        <f t="shared" si="2"/>
        <v>0</v>
      </c>
      <c r="H18" s="13">
        <f t="shared" si="2"/>
        <v>0</v>
      </c>
      <c r="I18" s="13">
        <f t="shared" si="2"/>
        <v>0</v>
      </c>
      <c r="J18" s="5">
        <f t="shared" si="4"/>
        <v>0</v>
      </c>
      <c r="AR18" s="3">
        <f t="shared" si="5"/>
        <v>0</v>
      </c>
      <c r="AS18" s="3">
        <f t="shared" si="6"/>
        <v>0</v>
      </c>
      <c r="AT18" s="3">
        <f t="shared" si="7"/>
        <v>0</v>
      </c>
      <c r="AU18" s="3">
        <f t="shared" si="8"/>
        <v>0</v>
      </c>
      <c r="AV18" s="3">
        <f t="shared" si="9"/>
        <v>0</v>
      </c>
      <c r="AW18" s="3">
        <f t="shared" si="10"/>
        <v>0</v>
      </c>
      <c r="AY18" s="3">
        <f t="shared" si="11"/>
        <v>0</v>
      </c>
      <c r="AZ18" s="3">
        <f t="shared" si="11"/>
        <v>0</v>
      </c>
      <c r="BA18" s="3">
        <f t="shared" si="11"/>
        <v>0</v>
      </c>
      <c r="BB18" s="3">
        <f t="shared" si="11"/>
        <v>0</v>
      </c>
      <c r="BC18" s="3">
        <f t="shared" si="11"/>
        <v>0</v>
      </c>
      <c r="BD18" s="3">
        <f t="shared" si="11"/>
        <v>0</v>
      </c>
    </row>
    <row r="19" spans="1:56" s="8" customFormat="1" x14ac:dyDescent="0.45">
      <c r="A19" s="8" t="s">
        <v>114</v>
      </c>
      <c r="B19" s="8" t="s">
        <v>115</v>
      </c>
      <c r="C19" s="14">
        <f t="shared" si="1"/>
        <v>0</v>
      </c>
      <c r="D19" s="15">
        <f t="shared" si="2"/>
        <v>0</v>
      </c>
      <c r="E19" s="15">
        <f t="shared" si="2"/>
        <v>0</v>
      </c>
      <c r="F19" s="15">
        <f t="shared" si="2"/>
        <v>0</v>
      </c>
      <c r="G19" s="15">
        <f t="shared" si="2"/>
        <v>0</v>
      </c>
      <c r="H19" s="15">
        <f t="shared" si="2"/>
        <v>0</v>
      </c>
      <c r="I19" s="15">
        <f t="shared" si="2"/>
        <v>0</v>
      </c>
      <c r="J19" s="16">
        <f t="shared" si="4"/>
        <v>0</v>
      </c>
      <c r="AR19" s="8">
        <f t="shared" si="5"/>
        <v>0</v>
      </c>
      <c r="AS19" s="8">
        <f t="shared" si="6"/>
        <v>0</v>
      </c>
      <c r="AT19" s="8">
        <f t="shared" si="7"/>
        <v>0</v>
      </c>
      <c r="AU19" s="8">
        <f t="shared" si="8"/>
        <v>0</v>
      </c>
      <c r="AV19" s="8">
        <f t="shared" si="9"/>
        <v>0</v>
      </c>
      <c r="AW19" s="8">
        <f t="shared" si="10"/>
        <v>0</v>
      </c>
      <c r="AY19" s="8">
        <f t="shared" si="11"/>
        <v>0</v>
      </c>
      <c r="AZ19" s="8">
        <f t="shared" si="11"/>
        <v>0</v>
      </c>
      <c r="BA19" s="8">
        <f t="shared" si="11"/>
        <v>0</v>
      </c>
      <c r="BB19" s="8">
        <f t="shared" si="11"/>
        <v>0</v>
      </c>
      <c r="BC19" s="8">
        <f t="shared" si="11"/>
        <v>0</v>
      </c>
      <c r="BD19" s="8">
        <f t="shared" si="11"/>
        <v>0</v>
      </c>
    </row>
    <row r="20" spans="1:56" x14ac:dyDescent="0.45">
      <c r="A20" s="11" t="s">
        <v>116</v>
      </c>
      <c r="B20" s="11" t="s">
        <v>92</v>
      </c>
      <c r="C20" s="12">
        <f t="shared" si="1"/>
        <v>0</v>
      </c>
      <c r="D20" s="13">
        <f t="shared" si="2"/>
        <v>0</v>
      </c>
      <c r="E20" s="13">
        <f t="shared" si="2"/>
        <v>0</v>
      </c>
      <c r="F20" s="13">
        <f t="shared" si="2"/>
        <v>0</v>
      </c>
      <c r="G20" s="13">
        <f t="shared" si="2"/>
        <v>0</v>
      </c>
      <c r="H20" s="13">
        <f t="shared" si="2"/>
        <v>0</v>
      </c>
      <c r="I20" s="13">
        <f t="shared" si="2"/>
        <v>0</v>
      </c>
      <c r="J20" s="5">
        <f t="shared" si="4"/>
        <v>0</v>
      </c>
      <c r="AR20" s="3">
        <f t="shared" si="5"/>
        <v>0</v>
      </c>
      <c r="AS20" s="3">
        <f t="shared" si="6"/>
        <v>0</v>
      </c>
      <c r="AT20" s="3">
        <f t="shared" si="7"/>
        <v>0</v>
      </c>
      <c r="AU20" s="3">
        <f t="shared" si="8"/>
        <v>0</v>
      </c>
      <c r="AV20" s="3">
        <f t="shared" si="9"/>
        <v>0</v>
      </c>
      <c r="AW20" s="3">
        <f t="shared" si="10"/>
        <v>0</v>
      </c>
      <c r="AY20" s="3">
        <f t="shared" si="11"/>
        <v>0</v>
      </c>
      <c r="AZ20" s="3">
        <f t="shared" si="11"/>
        <v>0</v>
      </c>
      <c r="BA20" s="3">
        <f t="shared" si="11"/>
        <v>0</v>
      </c>
      <c r="BB20" s="3">
        <f t="shared" si="11"/>
        <v>0</v>
      </c>
      <c r="BC20" s="3">
        <f t="shared" si="11"/>
        <v>0</v>
      </c>
      <c r="BD20" s="3">
        <f t="shared" si="11"/>
        <v>0</v>
      </c>
    </row>
    <row r="21" spans="1:56" s="8" customFormat="1" x14ac:dyDescent="0.45">
      <c r="A21" s="8" t="s">
        <v>117</v>
      </c>
      <c r="B21" s="8" t="s">
        <v>118</v>
      </c>
      <c r="C21" s="14">
        <f t="shared" si="1"/>
        <v>0</v>
      </c>
      <c r="D21" s="15">
        <f t="shared" si="2"/>
        <v>0</v>
      </c>
      <c r="E21" s="15">
        <f t="shared" si="2"/>
        <v>0</v>
      </c>
      <c r="F21" s="15">
        <f t="shared" si="2"/>
        <v>0</v>
      </c>
      <c r="G21" s="15">
        <f t="shared" si="2"/>
        <v>0</v>
      </c>
      <c r="H21" s="15">
        <f t="shared" si="2"/>
        <v>0</v>
      </c>
      <c r="I21" s="15">
        <f t="shared" si="2"/>
        <v>0</v>
      </c>
      <c r="J21" s="16">
        <f t="shared" si="4"/>
        <v>0</v>
      </c>
      <c r="AR21" s="8">
        <f t="shared" si="5"/>
        <v>0</v>
      </c>
      <c r="AS21" s="8">
        <f t="shared" si="6"/>
        <v>0</v>
      </c>
      <c r="AT21" s="8">
        <f t="shared" si="7"/>
        <v>0</v>
      </c>
      <c r="AU21" s="8">
        <f t="shared" si="8"/>
        <v>0</v>
      </c>
      <c r="AV21" s="8">
        <f t="shared" si="9"/>
        <v>0</v>
      </c>
      <c r="AW21" s="8">
        <f t="shared" si="10"/>
        <v>0</v>
      </c>
      <c r="AY21" s="8">
        <f t="shared" si="11"/>
        <v>0</v>
      </c>
      <c r="AZ21" s="8">
        <f t="shared" si="11"/>
        <v>0</v>
      </c>
      <c r="BA21" s="8">
        <f t="shared" si="11"/>
        <v>0</v>
      </c>
      <c r="BB21" s="8">
        <f t="shared" si="11"/>
        <v>0</v>
      </c>
      <c r="BC21" s="8">
        <f t="shared" si="11"/>
        <v>0</v>
      </c>
      <c r="BD21" s="8">
        <f t="shared" si="11"/>
        <v>0</v>
      </c>
    </row>
    <row r="22" spans="1:56" x14ac:dyDescent="0.45">
      <c r="A22" s="11" t="s">
        <v>119</v>
      </c>
      <c r="B22" s="11" t="s">
        <v>120</v>
      </c>
      <c r="C22" s="12">
        <f t="shared" si="1"/>
        <v>0</v>
      </c>
      <c r="D22" s="13">
        <f t="shared" si="2"/>
        <v>0</v>
      </c>
      <c r="E22" s="13">
        <f t="shared" si="2"/>
        <v>0</v>
      </c>
      <c r="F22" s="13">
        <f t="shared" si="2"/>
        <v>0</v>
      </c>
      <c r="G22" s="13">
        <f t="shared" si="2"/>
        <v>0</v>
      </c>
      <c r="H22" s="13">
        <f t="shared" si="2"/>
        <v>0</v>
      </c>
      <c r="I22" s="13">
        <f t="shared" si="2"/>
        <v>0</v>
      </c>
      <c r="J22" s="5">
        <f t="shared" si="4"/>
        <v>0</v>
      </c>
      <c r="AF22" s="7"/>
      <c r="AG22" s="7"/>
      <c r="AR22" s="3">
        <f t="shared" si="5"/>
        <v>0</v>
      </c>
      <c r="AS22" s="3">
        <f t="shared" si="6"/>
        <v>0</v>
      </c>
      <c r="AT22" s="3">
        <f t="shared" si="7"/>
        <v>0</v>
      </c>
      <c r="AU22" s="3">
        <f t="shared" si="8"/>
        <v>0</v>
      </c>
      <c r="AV22" s="3">
        <f t="shared" si="9"/>
        <v>0</v>
      </c>
      <c r="AW22" s="3">
        <f t="shared" si="10"/>
        <v>0</v>
      </c>
      <c r="AY22" s="3">
        <f t="shared" si="11"/>
        <v>0</v>
      </c>
      <c r="AZ22" s="3">
        <f t="shared" si="11"/>
        <v>0</v>
      </c>
      <c r="BA22" s="3">
        <f t="shared" si="11"/>
        <v>0</v>
      </c>
      <c r="BB22" s="3">
        <f t="shared" si="11"/>
        <v>0</v>
      </c>
      <c r="BC22" s="3">
        <f t="shared" si="11"/>
        <v>0</v>
      </c>
      <c r="BD22" s="3">
        <f t="shared" si="11"/>
        <v>0</v>
      </c>
    </row>
    <row r="23" spans="1:56" s="8" customFormat="1" x14ac:dyDescent="0.45">
      <c r="A23" s="8" t="s">
        <v>121</v>
      </c>
      <c r="B23" s="8" t="s">
        <v>122</v>
      </c>
      <c r="C23" s="14">
        <f t="shared" si="1"/>
        <v>0</v>
      </c>
      <c r="D23" s="15">
        <f t="shared" si="2"/>
        <v>0</v>
      </c>
      <c r="E23" s="15">
        <f t="shared" si="2"/>
        <v>0</v>
      </c>
      <c r="F23" s="15">
        <f t="shared" si="2"/>
        <v>0</v>
      </c>
      <c r="G23" s="15">
        <f t="shared" si="2"/>
        <v>0</v>
      </c>
      <c r="H23" s="15">
        <f t="shared" si="2"/>
        <v>0</v>
      </c>
      <c r="I23" s="15">
        <f t="shared" si="2"/>
        <v>0</v>
      </c>
      <c r="J23" s="16">
        <f t="shared" si="4"/>
        <v>0</v>
      </c>
      <c r="AR23" s="8">
        <f t="shared" si="5"/>
        <v>0</v>
      </c>
      <c r="AS23" s="8">
        <f t="shared" si="6"/>
        <v>0</v>
      </c>
      <c r="AT23" s="8">
        <f t="shared" si="7"/>
        <v>0</v>
      </c>
      <c r="AU23" s="8">
        <f t="shared" si="8"/>
        <v>0</v>
      </c>
      <c r="AV23" s="8">
        <f t="shared" si="9"/>
        <v>0</v>
      </c>
      <c r="AW23" s="8">
        <f t="shared" si="10"/>
        <v>0</v>
      </c>
      <c r="AY23" s="8">
        <f t="shared" si="11"/>
        <v>0</v>
      </c>
      <c r="AZ23" s="8">
        <f t="shared" si="11"/>
        <v>0</v>
      </c>
      <c r="BA23" s="8">
        <f t="shared" si="11"/>
        <v>0</v>
      </c>
      <c r="BB23" s="8">
        <f t="shared" si="11"/>
        <v>0</v>
      </c>
      <c r="BC23" s="8">
        <f t="shared" si="11"/>
        <v>0</v>
      </c>
      <c r="BD23" s="8">
        <f t="shared" si="11"/>
        <v>0</v>
      </c>
    </row>
    <row r="24" spans="1:56" x14ac:dyDescent="0.45">
      <c r="A24" s="11" t="s">
        <v>123</v>
      </c>
      <c r="B24" s="11" t="s">
        <v>124</v>
      </c>
      <c r="C24" s="12">
        <f t="shared" si="1"/>
        <v>0</v>
      </c>
      <c r="D24" s="13">
        <f t="shared" si="2"/>
        <v>0</v>
      </c>
      <c r="E24" s="13">
        <f t="shared" si="2"/>
        <v>0</v>
      </c>
      <c r="F24" s="13">
        <f t="shared" si="2"/>
        <v>0</v>
      </c>
      <c r="G24" s="13">
        <f t="shared" si="2"/>
        <v>0</v>
      </c>
      <c r="H24" s="13">
        <f t="shared" si="2"/>
        <v>0</v>
      </c>
      <c r="I24" s="13">
        <f t="shared" si="2"/>
        <v>0</v>
      </c>
      <c r="J24" s="5">
        <f t="shared" si="4"/>
        <v>0</v>
      </c>
      <c r="AR24" s="3">
        <f t="shared" si="5"/>
        <v>0</v>
      </c>
      <c r="AS24" s="3">
        <f t="shared" si="6"/>
        <v>0</v>
      </c>
      <c r="AT24" s="3">
        <f t="shared" si="7"/>
        <v>0</v>
      </c>
      <c r="AU24" s="3">
        <f t="shared" si="8"/>
        <v>0</v>
      </c>
      <c r="AV24" s="3">
        <f t="shared" si="9"/>
        <v>0</v>
      </c>
      <c r="AW24" s="3">
        <f t="shared" si="10"/>
        <v>0</v>
      </c>
      <c r="AY24" s="3">
        <f t="shared" si="11"/>
        <v>0</v>
      </c>
      <c r="AZ24" s="3">
        <f t="shared" si="11"/>
        <v>0</v>
      </c>
      <c r="BA24" s="3">
        <f t="shared" si="11"/>
        <v>0</v>
      </c>
      <c r="BB24" s="3">
        <f t="shared" si="11"/>
        <v>0</v>
      </c>
      <c r="BC24" s="3">
        <f t="shared" si="11"/>
        <v>0</v>
      </c>
      <c r="BD24" s="3">
        <f t="shared" si="11"/>
        <v>0</v>
      </c>
    </row>
    <row r="25" spans="1:56" s="8" customFormat="1" x14ac:dyDescent="0.45">
      <c r="A25" s="8" t="s">
        <v>125</v>
      </c>
      <c r="B25" s="8" t="s">
        <v>32</v>
      </c>
      <c r="C25" s="14">
        <f t="shared" si="1"/>
        <v>0</v>
      </c>
      <c r="D25" s="15">
        <f t="shared" si="2"/>
        <v>0</v>
      </c>
      <c r="E25" s="15">
        <f t="shared" si="2"/>
        <v>0</v>
      </c>
      <c r="F25" s="15">
        <f t="shared" si="2"/>
        <v>0</v>
      </c>
      <c r="G25" s="15">
        <f t="shared" si="2"/>
        <v>0</v>
      </c>
      <c r="H25" s="15">
        <f t="shared" si="2"/>
        <v>0</v>
      </c>
      <c r="I25" s="15">
        <f t="shared" si="2"/>
        <v>0</v>
      </c>
      <c r="J25" s="16">
        <f t="shared" si="4"/>
        <v>0</v>
      </c>
      <c r="AR25" s="8">
        <f t="shared" si="5"/>
        <v>0</v>
      </c>
      <c r="AS25" s="8">
        <f t="shared" si="6"/>
        <v>0</v>
      </c>
      <c r="AT25" s="8">
        <f t="shared" si="7"/>
        <v>0</v>
      </c>
      <c r="AU25" s="8">
        <f t="shared" si="8"/>
        <v>0</v>
      </c>
      <c r="AV25" s="8">
        <f t="shared" si="9"/>
        <v>0</v>
      </c>
      <c r="AW25" s="8">
        <f t="shared" si="10"/>
        <v>0</v>
      </c>
      <c r="AY25" s="8">
        <f t="shared" si="11"/>
        <v>0</v>
      </c>
      <c r="AZ25" s="8">
        <f t="shared" si="11"/>
        <v>0</v>
      </c>
      <c r="BA25" s="8">
        <f t="shared" si="11"/>
        <v>0</v>
      </c>
      <c r="BB25" s="8">
        <f t="shared" si="11"/>
        <v>0</v>
      </c>
      <c r="BC25" s="8">
        <f t="shared" si="11"/>
        <v>0</v>
      </c>
      <c r="BD25" s="8">
        <f t="shared" si="11"/>
        <v>0</v>
      </c>
    </row>
    <row r="26" spans="1:56" x14ac:dyDescent="0.45">
      <c r="A26" s="11" t="s">
        <v>126</v>
      </c>
      <c r="B26" s="11" t="s">
        <v>90</v>
      </c>
      <c r="C26" s="12">
        <f t="shared" si="1"/>
        <v>0</v>
      </c>
      <c r="D26" s="13">
        <f t="shared" si="2"/>
        <v>0</v>
      </c>
      <c r="E26" s="13">
        <f t="shared" si="2"/>
        <v>0</v>
      </c>
      <c r="F26" s="13">
        <f t="shared" si="2"/>
        <v>0</v>
      </c>
      <c r="G26" s="13">
        <f t="shared" si="2"/>
        <v>0</v>
      </c>
      <c r="H26" s="13">
        <f t="shared" si="2"/>
        <v>0</v>
      </c>
      <c r="I26" s="13">
        <f t="shared" si="2"/>
        <v>0</v>
      </c>
      <c r="J26" s="5">
        <f t="shared" si="4"/>
        <v>0</v>
      </c>
      <c r="AR26" s="3">
        <f t="shared" si="5"/>
        <v>0</v>
      </c>
      <c r="AS26" s="3">
        <f t="shared" si="6"/>
        <v>0</v>
      </c>
      <c r="AT26" s="3">
        <f t="shared" si="7"/>
        <v>0</v>
      </c>
      <c r="AU26" s="3">
        <f t="shared" si="8"/>
        <v>0</v>
      </c>
      <c r="AV26" s="3">
        <f t="shared" si="9"/>
        <v>0</v>
      </c>
      <c r="AW26" s="3">
        <f t="shared" si="10"/>
        <v>0</v>
      </c>
      <c r="AY26" s="3">
        <f t="shared" si="11"/>
        <v>0</v>
      </c>
      <c r="AZ26" s="3">
        <f t="shared" si="11"/>
        <v>0</v>
      </c>
      <c r="BA26" s="3">
        <f t="shared" si="11"/>
        <v>0</v>
      </c>
      <c r="BB26" s="3">
        <f t="shared" si="11"/>
        <v>0</v>
      </c>
      <c r="BC26" s="3">
        <f t="shared" si="11"/>
        <v>0</v>
      </c>
      <c r="BD26" s="3">
        <f t="shared" si="11"/>
        <v>0</v>
      </c>
    </row>
    <row r="28" spans="1:56" x14ac:dyDescent="0.45">
      <c r="C28" s="9">
        <f>AVERAGE(C4:C26)</f>
        <v>0</v>
      </c>
      <c r="J28" s="3">
        <f>AVERAGE(J4:J26)</f>
        <v>0</v>
      </c>
    </row>
  </sheetData>
  <conditionalFormatting sqref="J4:J26">
    <cfRule type="top10" dxfId="3" priority="3" bottom="1" rank="5"/>
    <cfRule type="top10" dxfId="2" priority="4" rank="5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3B88-5C63-454B-9850-74BD47A639A5}">
  <dimension ref="A1:BD31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M17" sqref="M17"/>
    </sheetView>
  </sheetViews>
  <sheetFormatPr baseColWidth="10" defaultColWidth="11.3984375" defaultRowHeight="14.25" x14ac:dyDescent="0.45"/>
  <cols>
    <col min="1" max="2" width="11.3984375" style="3"/>
    <col min="3" max="9" width="7.33203125" style="9" customWidth="1"/>
    <col min="10" max="10" width="11.3984375" style="3"/>
    <col min="11" max="12" width="4.3984375" style="3" customWidth="1"/>
    <col min="13" max="13" width="4.3984375" style="8" customWidth="1"/>
    <col min="14" max="16" width="4.3984375" style="3" customWidth="1"/>
    <col min="17" max="18" width="4.3984375" style="8" customWidth="1"/>
    <col min="19" max="20" width="4.3984375" style="3" customWidth="1"/>
    <col min="21" max="21" width="4.3984375" style="8" customWidth="1"/>
    <col min="22" max="24" width="4.3984375" style="3" customWidth="1"/>
    <col min="25" max="25" width="4.3984375" style="8" customWidth="1"/>
    <col min="26" max="27" width="4.3984375" style="3" customWidth="1"/>
    <col min="28" max="30" width="4.3984375" style="4" customWidth="1"/>
    <col min="31" max="31" width="4.3984375" style="3" customWidth="1"/>
    <col min="32" max="33" width="4.3984375" style="4" customWidth="1"/>
    <col min="34" max="42" width="4.3984375" style="3" customWidth="1"/>
    <col min="43" max="54" width="4" style="3" customWidth="1"/>
    <col min="55" max="95" width="4.86328125" style="3" customWidth="1"/>
    <col min="96" max="16384" width="11.3984375" style="3"/>
  </cols>
  <sheetData>
    <row r="1" spans="1:56" x14ac:dyDescent="0.45">
      <c r="A1" s="3" t="s">
        <v>8</v>
      </c>
      <c r="B1" s="3" t="s">
        <v>9</v>
      </c>
      <c r="C1" s="9" t="s">
        <v>74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K1" s="3">
        <v>1</v>
      </c>
      <c r="M1" s="8">
        <v>2</v>
      </c>
      <c r="N1" s="3">
        <v>3</v>
      </c>
      <c r="Q1" s="8">
        <v>4</v>
      </c>
      <c r="S1" s="3">
        <v>5</v>
      </c>
      <c r="U1" s="8">
        <v>6</v>
      </c>
      <c r="V1" s="3">
        <v>7</v>
      </c>
      <c r="Y1" s="8">
        <v>8</v>
      </c>
      <c r="Z1" s="3">
        <v>9</v>
      </c>
      <c r="AB1" s="4">
        <v>10</v>
      </c>
      <c r="AE1" s="3">
        <v>11</v>
      </c>
      <c r="AF1" s="4">
        <v>12</v>
      </c>
      <c r="AH1" s="3">
        <v>13</v>
      </c>
      <c r="AI1" s="3">
        <v>14</v>
      </c>
      <c r="AJ1" s="3">
        <v>15</v>
      </c>
      <c r="AL1" s="3">
        <v>16</v>
      </c>
      <c r="AN1" s="3">
        <v>17</v>
      </c>
      <c r="AO1" s="3">
        <v>18</v>
      </c>
      <c r="AR1" s="3" t="s">
        <v>60</v>
      </c>
      <c r="AS1" s="3" t="s">
        <v>63</v>
      </c>
      <c r="AT1" s="3" t="s">
        <v>59</v>
      </c>
      <c r="AU1" s="3" t="s">
        <v>62</v>
      </c>
      <c r="AV1" s="3" t="s">
        <v>61</v>
      </c>
      <c r="AW1" s="3" t="s">
        <v>64</v>
      </c>
      <c r="AY1" s="3" t="s">
        <v>60</v>
      </c>
      <c r="AZ1" s="3" t="s">
        <v>63</v>
      </c>
      <c r="BA1" s="3" t="s">
        <v>59</v>
      </c>
      <c r="BB1" s="3" t="s">
        <v>62</v>
      </c>
      <c r="BC1" s="3" t="s">
        <v>61</v>
      </c>
      <c r="BD1" s="3" t="s">
        <v>64</v>
      </c>
    </row>
    <row r="2" spans="1:56" x14ac:dyDescent="0.45">
      <c r="AR2" s="3">
        <f t="shared" ref="AR2:AW2" si="0">COUNTIF($K$3:$AP$3,AR1)</f>
        <v>3</v>
      </c>
      <c r="AS2" s="3">
        <f t="shared" si="0"/>
        <v>5</v>
      </c>
      <c r="AT2" s="3">
        <f t="shared" si="0"/>
        <v>4</v>
      </c>
      <c r="AU2" s="3">
        <f t="shared" si="0"/>
        <v>6</v>
      </c>
      <c r="AV2" s="3">
        <f t="shared" si="0"/>
        <v>8</v>
      </c>
      <c r="AW2" s="3">
        <f t="shared" si="0"/>
        <v>6</v>
      </c>
    </row>
    <row r="3" spans="1:56" x14ac:dyDescent="0.45">
      <c r="C3" s="9" t="s">
        <v>67</v>
      </c>
      <c r="D3" s="9" t="s">
        <v>60</v>
      </c>
      <c r="E3" s="9" t="s">
        <v>63</v>
      </c>
      <c r="F3" s="9" t="s">
        <v>59</v>
      </c>
      <c r="G3" s="9" t="s">
        <v>62</v>
      </c>
      <c r="H3" s="9" t="s">
        <v>61</v>
      </c>
      <c r="I3" s="9" t="s">
        <v>64</v>
      </c>
      <c r="K3" s="3" t="s">
        <v>60</v>
      </c>
      <c r="L3" s="3" t="s">
        <v>59</v>
      </c>
      <c r="M3" s="8" t="s">
        <v>61</v>
      </c>
      <c r="N3" s="3" t="s">
        <v>63</v>
      </c>
      <c r="O3" s="3" t="s">
        <v>62</v>
      </c>
      <c r="P3" s="3" t="s">
        <v>64</v>
      </c>
      <c r="Q3" s="8" t="s">
        <v>60</v>
      </c>
      <c r="R3" s="8" t="s">
        <v>59</v>
      </c>
      <c r="S3" s="3" t="s">
        <v>61</v>
      </c>
      <c r="T3" s="3" t="s">
        <v>64</v>
      </c>
      <c r="U3" s="8" t="s">
        <v>62</v>
      </c>
      <c r="V3" s="3" t="s">
        <v>63</v>
      </c>
      <c r="W3" s="3" t="s">
        <v>62</v>
      </c>
      <c r="X3" s="3" t="s">
        <v>64</v>
      </c>
      <c r="Y3" s="8" t="s">
        <v>61</v>
      </c>
      <c r="Z3" s="3" t="s">
        <v>59</v>
      </c>
      <c r="AA3" s="3" t="s">
        <v>61</v>
      </c>
      <c r="AB3" s="4" t="s">
        <v>63</v>
      </c>
      <c r="AC3" s="4" t="s">
        <v>62</v>
      </c>
      <c r="AD3" s="4" t="s">
        <v>64</v>
      </c>
      <c r="AE3" s="3" t="s">
        <v>61</v>
      </c>
      <c r="AF3" s="4" t="s">
        <v>63</v>
      </c>
      <c r="AG3" s="4" t="s">
        <v>64</v>
      </c>
      <c r="AH3" s="3" t="s">
        <v>61</v>
      </c>
      <c r="AI3" s="3" t="s">
        <v>61</v>
      </c>
      <c r="AJ3" s="3" t="s">
        <v>62</v>
      </c>
      <c r="AK3" s="3" t="s">
        <v>64</v>
      </c>
      <c r="AL3" s="3" t="s">
        <v>63</v>
      </c>
      <c r="AM3" s="3" t="s">
        <v>62</v>
      </c>
      <c r="AN3" s="3" t="s">
        <v>61</v>
      </c>
      <c r="AO3" s="3" t="s">
        <v>60</v>
      </c>
      <c r="AP3" s="3" t="s">
        <v>59</v>
      </c>
      <c r="AR3" s="6">
        <v>1</v>
      </c>
      <c r="AS3" s="6">
        <v>1</v>
      </c>
      <c r="AT3" s="6">
        <v>1.5</v>
      </c>
      <c r="AU3" s="6">
        <v>2</v>
      </c>
      <c r="AV3" s="6">
        <v>2.5</v>
      </c>
      <c r="AW3" s="6">
        <v>2</v>
      </c>
      <c r="AY3" s="6">
        <v>1</v>
      </c>
      <c r="AZ3" s="6">
        <v>1</v>
      </c>
      <c r="BA3" s="6">
        <v>1.5</v>
      </c>
      <c r="BB3" s="6">
        <v>2</v>
      </c>
      <c r="BC3" s="6">
        <v>2.5</v>
      </c>
      <c r="BD3" s="6">
        <v>2</v>
      </c>
    </row>
    <row r="4" spans="1:56" s="8" customFormat="1" x14ac:dyDescent="0.45">
      <c r="A4" s="8" t="s">
        <v>10</v>
      </c>
      <c r="B4" s="8" t="s">
        <v>11</v>
      </c>
      <c r="C4" s="14">
        <f>SUM(D4:I4)</f>
        <v>8</v>
      </c>
      <c r="D4" s="15">
        <f>CEILING(AY4,0.25*SIGN(AY4))</f>
        <v>0.75</v>
      </c>
      <c r="E4" s="15">
        <f t="shared" ref="E4:I4" si="1">CEILING(AZ4,0.25*SIGN(AZ4))</f>
        <v>0.75</v>
      </c>
      <c r="F4" s="15">
        <f t="shared" si="1"/>
        <v>1.25</v>
      </c>
      <c r="G4" s="15">
        <f t="shared" si="1"/>
        <v>1.5</v>
      </c>
      <c r="H4" s="15">
        <f t="shared" si="1"/>
        <v>2</v>
      </c>
      <c r="I4" s="15">
        <f t="shared" si="1"/>
        <v>1.75</v>
      </c>
      <c r="J4" s="16">
        <f>SUM(AY4:BD4)</f>
        <v>7.3447916666666666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0.5</v>
      </c>
      <c r="Y4" s="8">
        <v>1</v>
      </c>
      <c r="Z4" s="8">
        <v>1</v>
      </c>
      <c r="AA4" s="8">
        <v>1</v>
      </c>
      <c r="AB4" s="8">
        <v>0</v>
      </c>
      <c r="AC4" s="8">
        <v>0</v>
      </c>
      <c r="AD4" s="8">
        <v>0.5</v>
      </c>
      <c r="AE4" s="8">
        <v>0.5</v>
      </c>
      <c r="AF4" s="8">
        <v>1</v>
      </c>
      <c r="AG4" s="8">
        <v>1</v>
      </c>
      <c r="AH4" s="8">
        <v>0</v>
      </c>
      <c r="AI4" s="8">
        <v>0.75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0</v>
      </c>
      <c r="AP4" s="8">
        <v>0</v>
      </c>
      <c r="AR4" s="8">
        <f>SUM(K4,Q4,AO4)</f>
        <v>2</v>
      </c>
      <c r="AS4" s="8">
        <f>SUM(N4,V4,AB4,AF4,AL4)</f>
        <v>3</v>
      </c>
      <c r="AT4" s="8">
        <f>SUM(L4,R4,Z4,AP4)</f>
        <v>3</v>
      </c>
      <c r="AU4" s="8">
        <f>SUM(O4,U4,AC4,AJ4,AM4,W4)</f>
        <v>4</v>
      </c>
      <c r="AV4" s="8">
        <f>SUM(M4,S4,Y4,AA4,AE4,AI4,AN4,AH4)</f>
        <v>6.25</v>
      </c>
      <c r="AW4" s="8">
        <f>SUM(P4,T4,X4,AD4,AG4,AK4)</f>
        <v>5</v>
      </c>
      <c r="AY4" s="8">
        <f>AR$3*AR4/AR$2</f>
        <v>0.66666666666666663</v>
      </c>
      <c r="AZ4" s="8">
        <f t="shared" ref="AZ4:BD4" si="2">AS$3*AS4/AS$2</f>
        <v>0.6</v>
      </c>
      <c r="BA4" s="8">
        <f t="shared" si="2"/>
        <v>1.125</v>
      </c>
      <c r="BB4" s="8">
        <f t="shared" si="2"/>
        <v>1.3333333333333333</v>
      </c>
      <c r="BC4" s="8">
        <f t="shared" si="2"/>
        <v>1.953125</v>
      </c>
      <c r="BD4" s="8">
        <f t="shared" si="2"/>
        <v>1.6666666666666667</v>
      </c>
    </row>
    <row r="5" spans="1:56" x14ac:dyDescent="0.45">
      <c r="A5" s="11" t="s">
        <v>12</v>
      </c>
      <c r="B5" s="11" t="s">
        <v>13</v>
      </c>
      <c r="C5" s="12">
        <f t="shared" ref="C5:C29" si="3">SUM(D5:I5)</f>
        <v>5.5</v>
      </c>
      <c r="D5" s="13">
        <f t="shared" ref="D5:D29" si="4">CEILING(AY5,0.25*SIGN(AY5))</f>
        <v>0.75</v>
      </c>
      <c r="E5" s="13">
        <f t="shared" ref="E5:E29" si="5">CEILING(AZ5,0.25*SIGN(AZ5))</f>
        <v>0.25</v>
      </c>
      <c r="F5" s="13">
        <f t="shared" ref="F5:F29" si="6">CEILING(BA5,0.25*SIGN(BA5))</f>
        <v>1.25</v>
      </c>
      <c r="G5" s="13">
        <f t="shared" ref="G5:G29" si="7">CEILING(BB5,0.25*SIGN(BB5))</f>
        <v>0.5</v>
      </c>
      <c r="H5" s="13">
        <f t="shared" ref="H5:H29" si="8">CEILING(BC5,0.25*SIGN(BC5))</f>
        <v>1.75</v>
      </c>
      <c r="I5" s="13">
        <f t="shared" ref="I5:I29" si="9">CEILING(BD5,0.25*SIGN(BD5))</f>
        <v>1</v>
      </c>
      <c r="J5" s="5">
        <f t="shared" ref="J5:J29" si="10">SUM(AY5:BD5)</f>
        <v>4.7989583333333332</v>
      </c>
      <c r="K5" s="3">
        <v>1</v>
      </c>
      <c r="L5" s="3">
        <v>1</v>
      </c>
      <c r="M5" s="8">
        <v>0.75</v>
      </c>
      <c r="N5" s="3">
        <v>0</v>
      </c>
      <c r="O5" s="3">
        <v>0</v>
      </c>
      <c r="P5" s="3">
        <v>0</v>
      </c>
      <c r="Q5" s="8">
        <v>1</v>
      </c>
      <c r="R5" s="8">
        <v>1</v>
      </c>
      <c r="S5" s="3">
        <v>0</v>
      </c>
      <c r="T5" s="3">
        <v>1</v>
      </c>
      <c r="U5" s="8">
        <v>0</v>
      </c>
      <c r="V5" s="3">
        <v>0</v>
      </c>
      <c r="W5" s="3">
        <v>0</v>
      </c>
      <c r="X5" s="3">
        <v>0</v>
      </c>
      <c r="Y5" s="8">
        <v>1</v>
      </c>
      <c r="Z5" s="3">
        <v>1</v>
      </c>
      <c r="AA5" s="3">
        <v>1</v>
      </c>
      <c r="AB5" s="7">
        <v>0</v>
      </c>
      <c r="AC5" s="7">
        <v>0</v>
      </c>
      <c r="AD5" s="7">
        <v>0</v>
      </c>
      <c r="AE5" s="3">
        <v>0.5</v>
      </c>
      <c r="AF5" s="4">
        <v>1</v>
      </c>
      <c r="AG5" s="4">
        <v>1</v>
      </c>
      <c r="AH5" s="3">
        <v>0</v>
      </c>
      <c r="AI5" s="3">
        <v>1</v>
      </c>
      <c r="AJ5" s="3">
        <v>1</v>
      </c>
      <c r="AK5" s="3">
        <v>0.5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R5" s="3">
        <f t="shared" ref="AR5:AR29" si="11">SUM(K5,Q5,AO5)</f>
        <v>2</v>
      </c>
      <c r="AS5" s="3">
        <f t="shared" ref="AS5:AS29" si="12">SUM(N5,V5,AB5,AF5,AL5)</f>
        <v>1</v>
      </c>
      <c r="AT5" s="3">
        <f t="shared" ref="AT5:AT29" si="13">SUM(L5,R5,Z5,AP5)</f>
        <v>3</v>
      </c>
      <c r="AU5" s="3">
        <f t="shared" ref="AU5:AU29" si="14">SUM(O5,U5,AC5,AJ5,AM5,W5)</f>
        <v>1</v>
      </c>
      <c r="AV5" s="3">
        <f t="shared" ref="AV5:AV29" si="15">SUM(M5,S5,Y5,AA5,AE5,AI5,AN5,AH5)</f>
        <v>5.25</v>
      </c>
      <c r="AW5" s="3">
        <f t="shared" ref="AW5:AW29" si="16">SUM(P5,T5,X5,AD5,AG5,AK5)</f>
        <v>2.5</v>
      </c>
      <c r="AY5" s="3">
        <f t="shared" ref="AY5:AY29" si="17">AR$3*AR5/AR$2</f>
        <v>0.66666666666666663</v>
      </c>
      <c r="AZ5" s="3">
        <f t="shared" ref="AZ5:AZ29" si="18">AS$3*AS5/AS$2</f>
        <v>0.2</v>
      </c>
      <c r="BA5" s="3">
        <f t="shared" ref="BA5:BA29" si="19">AT$3*AT5/AT$2</f>
        <v>1.125</v>
      </c>
      <c r="BB5" s="3">
        <f t="shared" ref="BB5:BB29" si="20">AU$3*AU5/AU$2</f>
        <v>0.33333333333333331</v>
      </c>
      <c r="BC5" s="3">
        <f t="shared" ref="BC5:BC29" si="21">AV$3*AV5/AV$2</f>
        <v>1.640625</v>
      </c>
      <c r="BD5" s="3">
        <f t="shared" ref="BD5:BD29" si="22">AW$3*AW5/AW$2</f>
        <v>0.83333333333333337</v>
      </c>
    </row>
    <row r="6" spans="1:56" s="8" customFormat="1" x14ac:dyDescent="0.45">
      <c r="A6" s="8" t="s">
        <v>14</v>
      </c>
      <c r="B6" s="8" t="s">
        <v>15</v>
      </c>
      <c r="C6" s="14">
        <f t="shared" si="3"/>
        <v>8</v>
      </c>
      <c r="D6" s="15">
        <f t="shared" si="4"/>
        <v>0.75</v>
      </c>
      <c r="E6" s="15">
        <f t="shared" si="5"/>
        <v>1</v>
      </c>
      <c r="F6" s="15">
        <f t="shared" si="6"/>
        <v>1.25</v>
      </c>
      <c r="G6" s="15">
        <f t="shared" si="7"/>
        <v>2</v>
      </c>
      <c r="H6" s="15">
        <f t="shared" si="8"/>
        <v>1.5</v>
      </c>
      <c r="I6" s="15">
        <f t="shared" si="9"/>
        <v>1.5</v>
      </c>
      <c r="J6" s="16">
        <f t="shared" si="10"/>
        <v>7.4531249999999991</v>
      </c>
      <c r="K6" s="8">
        <v>1</v>
      </c>
      <c r="L6" s="8">
        <v>1</v>
      </c>
      <c r="M6" s="8">
        <v>0.75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0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0</v>
      </c>
      <c r="AF6" s="8">
        <v>1</v>
      </c>
      <c r="AG6" s="8">
        <v>0</v>
      </c>
      <c r="AH6" s="8">
        <v>0</v>
      </c>
      <c r="AI6" s="8">
        <v>0.5</v>
      </c>
      <c r="AJ6" s="8">
        <v>1</v>
      </c>
      <c r="AK6" s="8">
        <v>1</v>
      </c>
      <c r="AL6" s="8">
        <v>1</v>
      </c>
      <c r="AM6" s="8">
        <v>1</v>
      </c>
      <c r="AN6" s="8">
        <v>0</v>
      </c>
      <c r="AO6" s="8">
        <v>0</v>
      </c>
      <c r="AP6" s="8">
        <v>0</v>
      </c>
      <c r="AR6" s="8">
        <f t="shared" si="11"/>
        <v>2</v>
      </c>
      <c r="AS6" s="8">
        <f t="shared" si="12"/>
        <v>5</v>
      </c>
      <c r="AT6" s="8">
        <f t="shared" si="13"/>
        <v>3</v>
      </c>
      <c r="AU6" s="8">
        <f t="shared" si="14"/>
        <v>6</v>
      </c>
      <c r="AV6" s="8">
        <f t="shared" si="15"/>
        <v>4.25</v>
      </c>
      <c r="AW6" s="8">
        <f t="shared" si="16"/>
        <v>4</v>
      </c>
      <c r="AY6" s="8">
        <f t="shared" si="17"/>
        <v>0.66666666666666663</v>
      </c>
      <c r="AZ6" s="8">
        <f t="shared" si="18"/>
        <v>1</v>
      </c>
      <c r="BA6" s="8">
        <f t="shared" si="19"/>
        <v>1.125</v>
      </c>
      <c r="BB6" s="8">
        <f t="shared" si="20"/>
        <v>2</v>
      </c>
      <c r="BC6" s="8">
        <f t="shared" si="21"/>
        <v>1.328125</v>
      </c>
      <c r="BD6" s="8">
        <f t="shared" si="22"/>
        <v>1.3333333333333333</v>
      </c>
    </row>
    <row r="7" spans="1:56" x14ac:dyDescent="0.45">
      <c r="A7" s="11" t="s">
        <v>16</v>
      </c>
      <c r="B7" s="11" t="s">
        <v>66</v>
      </c>
      <c r="C7" s="12">
        <f t="shared" si="3"/>
        <v>5.5</v>
      </c>
      <c r="D7" s="13">
        <f t="shared" si="4"/>
        <v>0.75</v>
      </c>
      <c r="E7" s="13">
        <f t="shared" si="5"/>
        <v>0.5</v>
      </c>
      <c r="F7" s="13">
        <f t="shared" si="6"/>
        <v>0.75</v>
      </c>
      <c r="G7" s="13">
        <f t="shared" si="7"/>
        <v>1.25</v>
      </c>
      <c r="H7" s="13">
        <f t="shared" si="8"/>
        <v>1.25</v>
      </c>
      <c r="I7" s="13">
        <f t="shared" si="9"/>
        <v>1</v>
      </c>
      <c r="J7" s="5">
        <f t="shared" si="10"/>
        <v>5.1666666666666661</v>
      </c>
      <c r="K7" s="3">
        <v>1</v>
      </c>
      <c r="L7" s="3">
        <v>1</v>
      </c>
      <c r="M7" s="8">
        <v>0.75</v>
      </c>
      <c r="N7" s="3">
        <v>0</v>
      </c>
      <c r="O7" s="3">
        <v>0</v>
      </c>
      <c r="P7" s="3">
        <v>0</v>
      </c>
      <c r="Q7" s="8">
        <v>1</v>
      </c>
      <c r="R7" s="8">
        <v>1</v>
      </c>
      <c r="S7" s="3">
        <v>0.5</v>
      </c>
      <c r="T7" s="3">
        <v>1</v>
      </c>
      <c r="U7" s="8">
        <v>1</v>
      </c>
      <c r="V7" s="3">
        <v>0</v>
      </c>
      <c r="W7" s="3">
        <v>0</v>
      </c>
      <c r="X7" s="3">
        <v>0</v>
      </c>
      <c r="Y7" s="8">
        <v>1</v>
      </c>
      <c r="Z7" s="3">
        <v>0</v>
      </c>
      <c r="AA7" s="3">
        <v>0</v>
      </c>
      <c r="AB7" s="4">
        <v>1</v>
      </c>
      <c r="AC7" s="4">
        <v>1</v>
      </c>
      <c r="AD7" s="4">
        <v>1</v>
      </c>
      <c r="AE7" s="3">
        <v>0</v>
      </c>
      <c r="AF7" s="4">
        <v>0.5</v>
      </c>
      <c r="AG7" s="4">
        <v>0.5</v>
      </c>
      <c r="AH7" s="3">
        <v>0.75</v>
      </c>
      <c r="AI7" s="3">
        <v>0</v>
      </c>
      <c r="AJ7" s="3">
        <v>0.5</v>
      </c>
      <c r="AK7" s="3">
        <v>0</v>
      </c>
      <c r="AL7" s="3">
        <v>1</v>
      </c>
      <c r="AM7" s="3">
        <v>1</v>
      </c>
      <c r="AN7" s="3">
        <v>1</v>
      </c>
      <c r="AO7" s="3">
        <v>0</v>
      </c>
      <c r="AP7" s="3">
        <v>0</v>
      </c>
      <c r="AR7" s="3">
        <f t="shared" si="11"/>
        <v>2</v>
      </c>
      <c r="AS7" s="3">
        <f t="shared" si="12"/>
        <v>2.5</v>
      </c>
      <c r="AT7" s="3">
        <f t="shared" si="13"/>
        <v>2</v>
      </c>
      <c r="AU7" s="3">
        <f t="shared" si="14"/>
        <v>3.5</v>
      </c>
      <c r="AV7" s="3">
        <f t="shared" si="15"/>
        <v>4</v>
      </c>
      <c r="AW7" s="3">
        <f t="shared" si="16"/>
        <v>2.5</v>
      </c>
      <c r="AY7" s="3">
        <f t="shared" si="17"/>
        <v>0.66666666666666663</v>
      </c>
      <c r="AZ7" s="3">
        <f t="shared" si="18"/>
        <v>0.5</v>
      </c>
      <c r="BA7" s="3">
        <f t="shared" si="19"/>
        <v>0.75</v>
      </c>
      <c r="BB7" s="3">
        <f t="shared" si="20"/>
        <v>1.1666666666666667</v>
      </c>
      <c r="BC7" s="3">
        <f t="shared" si="21"/>
        <v>1.25</v>
      </c>
      <c r="BD7" s="3">
        <f t="shared" si="22"/>
        <v>0.83333333333333337</v>
      </c>
    </row>
    <row r="8" spans="1:56" s="8" customFormat="1" x14ac:dyDescent="0.45">
      <c r="A8" s="8" t="s">
        <v>17</v>
      </c>
      <c r="B8" s="8" t="s">
        <v>18</v>
      </c>
      <c r="C8" s="14">
        <f t="shared" si="3"/>
        <v>9.5</v>
      </c>
      <c r="D8" s="15">
        <f t="shared" si="4"/>
        <v>1</v>
      </c>
      <c r="E8" s="15">
        <f t="shared" si="5"/>
        <v>1</v>
      </c>
      <c r="F8" s="15">
        <f t="shared" si="6"/>
        <v>1.5</v>
      </c>
      <c r="G8" s="15">
        <f t="shared" si="7"/>
        <v>2</v>
      </c>
      <c r="H8" s="15">
        <f t="shared" si="8"/>
        <v>2.25</v>
      </c>
      <c r="I8" s="15">
        <f t="shared" si="9"/>
        <v>1.75</v>
      </c>
      <c r="J8" s="16">
        <f t="shared" si="10"/>
        <v>9.2708333333333339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0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0.75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0</v>
      </c>
      <c r="AO8" s="8">
        <v>1</v>
      </c>
      <c r="AP8" s="8">
        <v>1</v>
      </c>
      <c r="AR8" s="8">
        <f t="shared" si="11"/>
        <v>3</v>
      </c>
      <c r="AS8" s="8">
        <f t="shared" si="12"/>
        <v>5</v>
      </c>
      <c r="AT8" s="8">
        <f t="shared" si="13"/>
        <v>4</v>
      </c>
      <c r="AU8" s="8">
        <f t="shared" si="14"/>
        <v>6</v>
      </c>
      <c r="AV8" s="8">
        <f t="shared" si="15"/>
        <v>7</v>
      </c>
      <c r="AW8" s="8">
        <f t="shared" si="16"/>
        <v>4.75</v>
      </c>
      <c r="AY8" s="8">
        <f t="shared" si="17"/>
        <v>1</v>
      </c>
      <c r="AZ8" s="8">
        <f t="shared" si="18"/>
        <v>1</v>
      </c>
      <c r="BA8" s="8">
        <f t="shared" si="19"/>
        <v>1.5</v>
      </c>
      <c r="BB8" s="8">
        <f t="shared" si="20"/>
        <v>2</v>
      </c>
      <c r="BC8" s="8">
        <f t="shared" si="21"/>
        <v>2.1875</v>
      </c>
      <c r="BD8" s="8">
        <f t="shared" si="22"/>
        <v>1.5833333333333333</v>
      </c>
    </row>
    <row r="9" spans="1:56" x14ac:dyDescent="0.45">
      <c r="A9" s="11" t="s">
        <v>19</v>
      </c>
      <c r="B9" s="11" t="s">
        <v>20</v>
      </c>
      <c r="C9" s="12">
        <f t="shared" si="3"/>
        <v>6.25</v>
      </c>
      <c r="D9" s="13">
        <f t="shared" si="4"/>
        <v>0.5</v>
      </c>
      <c r="E9" s="13">
        <f t="shared" si="5"/>
        <v>0.75</v>
      </c>
      <c r="F9" s="13">
        <f t="shared" si="6"/>
        <v>0.75</v>
      </c>
      <c r="G9" s="13">
        <f t="shared" si="7"/>
        <v>1</v>
      </c>
      <c r="H9" s="13">
        <f t="shared" si="8"/>
        <v>1.75</v>
      </c>
      <c r="I9" s="13">
        <f t="shared" si="9"/>
        <v>1.5</v>
      </c>
      <c r="J9" s="5">
        <f t="shared" si="10"/>
        <v>5.7406250000000005</v>
      </c>
      <c r="K9" s="3">
        <v>0</v>
      </c>
      <c r="L9" s="3">
        <v>0</v>
      </c>
      <c r="M9" s="8">
        <v>0.75</v>
      </c>
      <c r="N9" s="3">
        <v>0</v>
      </c>
      <c r="O9" s="3">
        <v>0</v>
      </c>
      <c r="P9" s="3">
        <v>1</v>
      </c>
      <c r="Q9" s="8">
        <v>1</v>
      </c>
      <c r="R9" s="8">
        <v>1</v>
      </c>
      <c r="S9" s="3">
        <v>1</v>
      </c>
      <c r="T9" s="3">
        <v>1</v>
      </c>
      <c r="U9" s="8">
        <v>1</v>
      </c>
      <c r="V9" s="3">
        <v>1</v>
      </c>
      <c r="W9" s="3">
        <v>1</v>
      </c>
      <c r="X9" s="3">
        <v>1</v>
      </c>
      <c r="Y9" s="8">
        <v>1</v>
      </c>
      <c r="Z9" s="3">
        <v>1</v>
      </c>
      <c r="AA9" s="3">
        <v>1</v>
      </c>
      <c r="AB9" s="4">
        <v>0</v>
      </c>
      <c r="AC9" s="4">
        <v>0</v>
      </c>
      <c r="AD9" s="4">
        <v>0</v>
      </c>
      <c r="AE9" s="3">
        <v>0</v>
      </c>
      <c r="AF9" s="4">
        <v>1</v>
      </c>
      <c r="AG9" s="4">
        <v>1</v>
      </c>
      <c r="AH9" s="3">
        <v>0</v>
      </c>
      <c r="AI9" s="3">
        <v>1</v>
      </c>
      <c r="AJ9" s="3">
        <v>0</v>
      </c>
      <c r="AK9" s="3">
        <v>0.25</v>
      </c>
      <c r="AL9" s="3">
        <v>1</v>
      </c>
      <c r="AM9" s="3">
        <v>1</v>
      </c>
      <c r="AN9" s="3">
        <v>0.5</v>
      </c>
      <c r="AO9" s="3">
        <v>0</v>
      </c>
      <c r="AP9" s="3">
        <v>0</v>
      </c>
      <c r="AR9" s="3">
        <f t="shared" si="11"/>
        <v>1</v>
      </c>
      <c r="AS9" s="3">
        <f t="shared" si="12"/>
        <v>3</v>
      </c>
      <c r="AT9" s="3">
        <f t="shared" si="13"/>
        <v>2</v>
      </c>
      <c r="AU9" s="3">
        <f t="shared" si="14"/>
        <v>3</v>
      </c>
      <c r="AV9" s="3">
        <f t="shared" si="15"/>
        <v>5.25</v>
      </c>
      <c r="AW9" s="3">
        <f t="shared" si="16"/>
        <v>4.25</v>
      </c>
      <c r="AY9" s="3">
        <f t="shared" si="17"/>
        <v>0.33333333333333331</v>
      </c>
      <c r="AZ9" s="3">
        <f t="shared" si="18"/>
        <v>0.6</v>
      </c>
      <c r="BA9" s="3">
        <f t="shared" si="19"/>
        <v>0.75</v>
      </c>
      <c r="BB9" s="3">
        <f t="shared" si="20"/>
        <v>1</v>
      </c>
      <c r="BC9" s="3">
        <f t="shared" si="21"/>
        <v>1.640625</v>
      </c>
      <c r="BD9" s="3">
        <f t="shared" si="22"/>
        <v>1.4166666666666667</v>
      </c>
    </row>
    <row r="10" spans="1:56" s="8" customFormat="1" x14ac:dyDescent="0.45">
      <c r="A10" s="8" t="s">
        <v>21</v>
      </c>
      <c r="B10" s="8" t="s">
        <v>22</v>
      </c>
      <c r="C10" s="14">
        <f t="shared" si="3"/>
        <v>7</v>
      </c>
      <c r="D10" s="15">
        <f t="shared" si="4"/>
        <v>0.75</v>
      </c>
      <c r="E10" s="15">
        <f t="shared" si="5"/>
        <v>0.75</v>
      </c>
      <c r="F10" s="15">
        <f t="shared" si="6"/>
        <v>1.25</v>
      </c>
      <c r="G10" s="15">
        <f t="shared" si="7"/>
        <v>1</v>
      </c>
      <c r="H10" s="15">
        <f t="shared" si="8"/>
        <v>2.25</v>
      </c>
      <c r="I10" s="15">
        <f t="shared" si="9"/>
        <v>1</v>
      </c>
      <c r="J10" s="16">
        <f t="shared" si="10"/>
        <v>6.3395833333333327</v>
      </c>
      <c r="K10" s="8">
        <v>1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0</v>
      </c>
      <c r="AC10" s="8">
        <v>0</v>
      </c>
      <c r="AD10" s="8">
        <v>0.5</v>
      </c>
      <c r="AE10" s="8">
        <v>0</v>
      </c>
      <c r="AF10" s="8">
        <v>1</v>
      </c>
      <c r="AG10" s="8">
        <v>0</v>
      </c>
      <c r="AH10" s="8">
        <v>0.5</v>
      </c>
      <c r="AI10" s="8">
        <v>1</v>
      </c>
      <c r="AJ10" s="8">
        <v>0</v>
      </c>
      <c r="AK10" s="8">
        <v>0</v>
      </c>
      <c r="AL10" s="8">
        <v>1</v>
      </c>
      <c r="AM10" s="8">
        <v>1</v>
      </c>
      <c r="AN10" s="8">
        <v>1</v>
      </c>
      <c r="AO10" s="8">
        <v>0.25</v>
      </c>
      <c r="AP10" s="8">
        <v>0</v>
      </c>
      <c r="AR10" s="8">
        <f t="shared" si="11"/>
        <v>2.25</v>
      </c>
      <c r="AS10" s="8">
        <f t="shared" si="12"/>
        <v>3</v>
      </c>
      <c r="AT10" s="8">
        <f t="shared" si="13"/>
        <v>3</v>
      </c>
      <c r="AU10" s="8">
        <f t="shared" si="14"/>
        <v>3</v>
      </c>
      <c r="AV10" s="8">
        <f t="shared" si="15"/>
        <v>6.5</v>
      </c>
      <c r="AW10" s="8">
        <f t="shared" si="16"/>
        <v>2.5</v>
      </c>
      <c r="AY10" s="8">
        <f t="shared" si="17"/>
        <v>0.75</v>
      </c>
      <c r="AZ10" s="8">
        <f t="shared" si="18"/>
        <v>0.6</v>
      </c>
      <c r="BA10" s="8">
        <f t="shared" si="19"/>
        <v>1.125</v>
      </c>
      <c r="BB10" s="8">
        <f t="shared" si="20"/>
        <v>1</v>
      </c>
      <c r="BC10" s="8">
        <f t="shared" si="21"/>
        <v>2.03125</v>
      </c>
      <c r="BD10" s="8">
        <f t="shared" si="22"/>
        <v>0.83333333333333337</v>
      </c>
    </row>
    <row r="11" spans="1:56" x14ac:dyDescent="0.45">
      <c r="A11" s="11" t="s">
        <v>23</v>
      </c>
      <c r="B11" s="11" t="s">
        <v>24</v>
      </c>
      <c r="C11" s="12">
        <f t="shared" si="3"/>
        <v>7.25</v>
      </c>
      <c r="D11" s="13">
        <f t="shared" si="4"/>
        <v>0.75</v>
      </c>
      <c r="E11" s="13">
        <f t="shared" si="5"/>
        <v>1</v>
      </c>
      <c r="F11" s="13">
        <f t="shared" si="6"/>
        <v>1.25</v>
      </c>
      <c r="G11" s="13">
        <f t="shared" si="7"/>
        <v>1.5</v>
      </c>
      <c r="H11" s="13">
        <f t="shared" si="8"/>
        <v>1.5</v>
      </c>
      <c r="I11" s="13">
        <f t="shared" si="9"/>
        <v>1.25</v>
      </c>
      <c r="J11" s="5">
        <f t="shared" si="10"/>
        <v>6.6760416666666664</v>
      </c>
      <c r="K11" s="3">
        <v>1</v>
      </c>
      <c r="L11" s="3">
        <v>1</v>
      </c>
      <c r="M11" s="8">
        <v>0.75</v>
      </c>
      <c r="N11" s="3">
        <v>1</v>
      </c>
      <c r="O11" s="3">
        <v>1</v>
      </c>
      <c r="P11" s="3">
        <v>1</v>
      </c>
      <c r="Q11" s="8">
        <v>1</v>
      </c>
      <c r="R11" s="8">
        <v>1</v>
      </c>
      <c r="S11" s="3">
        <v>0.5</v>
      </c>
      <c r="T11" s="3">
        <v>1</v>
      </c>
      <c r="U11" s="8">
        <v>0.5</v>
      </c>
      <c r="V11" s="3">
        <v>0.5</v>
      </c>
      <c r="W11" s="3">
        <v>0.5</v>
      </c>
      <c r="X11" s="3">
        <v>0.5</v>
      </c>
      <c r="Y11" s="8">
        <v>1</v>
      </c>
      <c r="Z11" s="3">
        <v>1</v>
      </c>
      <c r="AA11" s="3">
        <v>1</v>
      </c>
      <c r="AB11" s="4">
        <v>1</v>
      </c>
      <c r="AC11" s="4">
        <v>1</v>
      </c>
      <c r="AD11" s="4">
        <v>1</v>
      </c>
      <c r="AE11" s="3">
        <v>1</v>
      </c>
      <c r="AF11" s="7">
        <v>1</v>
      </c>
      <c r="AG11" s="7">
        <v>0</v>
      </c>
      <c r="AH11" s="3">
        <v>0.5</v>
      </c>
      <c r="AI11" s="3">
        <v>0</v>
      </c>
      <c r="AJ11" s="3">
        <v>0</v>
      </c>
      <c r="AK11" s="3">
        <v>0</v>
      </c>
      <c r="AL11" s="3">
        <v>1</v>
      </c>
      <c r="AM11" s="3">
        <v>1</v>
      </c>
      <c r="AN11" s="3">
        <v>0</v>
      </c>
      <c r="AO11" s="3">
        <v>0</v>
      </c>
      <c r="AP11" s="3">
        <v>0</v>
      </c>
      <c r="AR11" s="3">
        <f t="shared" si="11"/>
        <v>2</v>
      </c>
      <c r="AS11" s="3">
        <f t="shared" si="12"/>
        <v>4.5</v>
      </c>
      <c r="AT11" s="3">
        <f t="shared" si="13"/>
        <v>3</v>
      </c>
      <c r="AU11" s="3">
        <f t="shared" si="14"/>
        <v>4</v>
      </c>
      <c r="AV11" s="3">
        <f t="shared" si="15"/>
        <v>4.75</v>
      </c>
      <c r="AW11" s="3">
        <f t="shared" si="16"/>
        <v>3.5</v>
      </c>
      <c r="AY11" s="3">
        <f t="shared" si="17"/>
        <v>0.66666666666666663</v>
      </c>
      <c r="AZ11" s="3">
        <f t="shared" si="18"/>
        <v>0.9</v>
      </c>
      <c r="BA11" s="3">
        <f t="shared" si="19"/>
        <v>1.125</v>
      </c>
      <c r="BB11" s="3">
        <f t="shared" si="20"/>
        <v>1.3333333333333333</v>
      </c>
      <c r="BC11" s="3">
        <f t="shared" si="21"/>
        <v>1.484375</v>
      </c>
      <c r="BD11" s="3">
        <f t="shared" si="22"/>
        <v>1.1666666666666667</v>
      </c>
    </row>
    <row r="12" spans="1:56" s="8" customFormat="1" x14ac:dyDescent="0.45">
      <c r="A12" s="8" t="s">
        <v>25</v>
      </c>
      <c r="B12" s="8" t="s">
        <v>26</v>
      </c>
      <c r="C12" s="14">
        <f t="shared" si="3"/>
        <v>5.5</v>
      </c>
      <c r="D12" s="15">
        <f t="shared" si="4"/>
        <v>0.75</v>
      </c>
      <c r="E12" s="15">
        <f t="shared" si="5"/>
        <v>0.75</v>
      </c>
      <c r="F12" s="15">
        <f t="shared" si="6"/>
        <v>0.75</v>
      </c>
      <c r="G12" s="15">
        <f t="shared" si="7"/>
        <v>1</v>
      </c>
      <c r="H12" s="15">
        <f t="shared" si="8"/>
        <v>1.25</v>
      </c>
      <c r="I12" s="15">
        <f t="shared" si="9"/>
        <v>1</v>
      </c>
      <c r="J12" s="16">
        <f t="shared" si="10"/>
        <v>5.0385416666666671</v>
      </c>
      <c r="K12" s="8">
        <v>1</v>
      </c>
      <c r="L12" s="8">
        <v>1</v>
      </c>
      <c r="M12" s="8">
        <v>0.75</v>
      </c>
      <c r="N12" s="8">
        <v>0</v>
      </c>
      <c r="O12" s="8">
        <v>0</v>
      </c>
      <c r="P12" s="8">
        <v>0</v>
      </c>
      <c r="Q12" s="8">
        <v>1</v>
      </c>
      <c r="R12" s="8">
        <v>1</v>
      </c>
      <c r="S12" s="8">
        <v>1</v>
      </c>
      <c r="T12" s="8">
        <v>1</v>
      </c>
      <c r="U12" s="8">
        <v>0.5</v>
      </c>
      <c r="V12" s="8">
        <v>1</v>
      </c>
      <c r="W12" s="8">
        <v>0.5</v>
      </c>
      <c r="X12" s="8">
        <v>0</v>
      </c>
      <c r="Y12" s="8">
        <v>0.5</v>
      </c>
      <c r="Z12" s="8">
        <v>0</v>
      </c>
      <c r="AA12" s="8">
        <v>0</v>
      </c>
      <c r="AB12" s="8">
        <v>0.5</v>
      </c>
      <c r="AC12" s="8">
        <v>0.5</v>
      </c>
      <c r="AD12" s="8">
        <v>0.75</v>
      </c>
      <c r="AE12" s="8">
        <v>0</v>
      </c>
      <c r="AF12" s="8">
        <v>1</v>
      </c>
      <c r="AG12" s="8">
        <v>1</v>
      </c>
      <c r="AH12" s="8">
        <v>0.5</v>
      </c>
      <c r="AI12" s="8">
        <v>0</v>
      </c>
      <c r="AJ12" s="8">
        <v>0</v>
      </c>
      <c r="AK12" s="8">
        <v>0</v>
      </c>
      <c r="AL12" s="8">
        <v>1</v>
      </c>
      <c r="AM12" s="8">
        <v>1</v>
      </c>
      <c r="AN12" s="8">
        <v>1</v>
      </c>
      <c r="AO12" s="8">
        <v>0</v>
      </c>
      <c r="AP12" s="8">
        <v>0</v>
      </c>
      <c r="AR12" s="8">
        <f t="shared" si="11"/>
        <v>2</v>
      </c>
      <c r="AS12" s="8">
        <f t="shared" si="12"/>
        <v>3.5</v>
      </c>
      <c r="AT12" s="8">
        <f t="shared" si="13"/>
        <v>2</v>
      </c>
      <c r="AU12" s="8">
        <f t="shared" si="14"/>
        <v>2.5</v>
      </c>
      <c r="AV12" s="8">
        <f t="shared" si="15"/>
        <v>3.75</v>
      </c>
      <c r="AW12" s="8">
        <f t="shared" si="16"/>
        <v>2.75</v>
      </c>
      <c r="AY12" s="8">
        <f t="shared" si="17"/>
        <v>0.66666666666666663</v>
      </c>
      <c r="AZ12" s="8">
        <f t="shared" si="18"/>
        <v>0.7</v>
      </c>
      <c r="BA12" s="8">
        <f t="shared" si="19"/>
        <v>0.75</v>
      </c>
      <c r="BB12" s="8">
        <f t="shared" si="20"/>
        <v>0.83333333333333337</v>
      </c>
      <c r="BC12" s="8">
        <f t="shared" si="21"/>
        <v>1.171875</v>
      </c>
      <c r="BD12" s="8">
        <f t="shared" si="22"/>
        <v>0.91666666666666663</v>
      </c>
    </row>
    <row r="13" spans="1:56" x14ac:dyDescent="0.45">
      <c r="A13" s="11" t="s">
        <v>27</v>
      </c>
      <c r="B13" s="11" t="s">
        <v>28</v>
      </c>
      <c r="C13" s="12">
        <f t="shared" si="3"/>
        <v>7</v>
      </c>
      <c r="D13" s="13">
        <f t="shared" si="4"/>
        <v>0.75</v>
      </c>
      <c r="E13" s="13">
        <f t="shared" si="5"/>
        <v>0.75</v>
      </c>
      <c r="F13" s="13">
        <f t="shared" si="6"/>
        <v>1.25</v>
      </c>
      <c r="G13" s="13">
        <f t="shared" si="7"/>
        <v>1.5</v>
      </c>
      <c r="H13" s="13">
        <f t="shared" si="8"/>
        <v>1.5</v>
      </c>
      <c r="I13" s="13">
        <f t="shared" si="9"/>
        <v>1.25</v>
      </c>
      <c r="J13" s="5">
        <f t="shared" si="10"/>
        <v>6.5593750000000002</v>
      </c>
      <c r="K13" s="3">
        <v>1</v>
      </c>
      <c r="L13" s="3">
        <v>1</v>
      </c>
      <c r="M13" s="8">
        <v>0.75</v>
      </c>
      <c r="N13" s="3">
        <v>1</v>
      </c>
      <c r="O13" s="3">
        <v>1</v>
      </c>
      <c r="P13" s="3">
        <v>1</v>
      </c>
      <c r="Q13" s="8">
        <v>1</v>
      </c>
      <c r="R13" s="8">
        <v>1</v>
      </c>
      <c r="S13" s="3">
        <v>1</v>
      </c>
      <c r="T13" s="3">
        <v>1</v>
      </c>
      <c r="U13" s="8">
        <v>1</v>
      </c>
      <c r="V13" s="3">
        <v>0.5</v>
      </c>
      <c r="W13" s="3">
        <v>0.5</v>
      </c>
      <c r="X13" s="3">
        <v>0</v>
      </c>
      <c r="Y13" s="8">
        <v>1</v>
      </c>
      <c r="Z13" s="3">
        <v>1</v>
      </c>
      <c r="AA13" s="3">
        <v>1</v>
      </c>
      <c r="AB13" s="4">
        <v>1</v>
      </c>
      <c r="AC13" s="4">
        <v>1</v>
      </c>
      <c r="AD13" s="4">
        <v>1</v>
      </c>
      <c r="AE13" s="3">
        <v>0</v>
      </c>
      <c r="AF13" s="7">
        <v>0</v>
      </c>
      <c r="AG13" s="7">
        <v>0</v>
      </c>
      <c r="AH13" s="3">
        <v>0</v>
      </c>
      <c r="AI13" s="3">
        <v>1</v>
      </c>
      <c r="AJ13" s="3">
        <v>0</v>
      </c>
      <c r="AK13" s="3">
        <v>0.25</v>
      </c>
      <c r="AL13" s="3">
        <v>1</v>
      </c>
      <c r="AM13" s="3">
        <v>1</v>
      </c>
      <c r="AN13" s="3">
        <v>0</v>
      </c>
      <c r="AO13" s="3">
        <v>0</v>
      </c>
      <c r="AP13" s="3">
        <v>0</v>
      </c>
      <c r="AR13" s="3">
        <f t="shared" si="11"/>
        <v>2</v>
      </c>
      <c r="AS13" s="3">
        <f t="shared" si="12"/>
        <v>3.5</v>
      </c>
      <c r="AT13" s="3">
        <f t="shared" si="13"/>
        <v>3</v>
      </c>
      <c r="AU13" s="3">
        <f t="shared" si="14"/>
        <v>4.5</v>
      </c>
      <c r="AV13" s="3">
        <f t="shared" si="15"/>
        <v>4.75</v>
      </c>
      <c r="AW13" s="3">
        <f t="shared" si="16"/>
        <v>3.25</v>
      </c>
      <c r="AY13" s="3">
        <f t="shared" si="17"/>
        <v>0.66666666666666663</v>
      </c>
      <c r="AZ13" s="3">
        <f t="shared" si="18"/>
        <v>0.7</v>
      </c>
      <c r="BA13" s="3">
        <f t="shared" si="19"/>
        <v>1.125</v>
      </c>
      <c r="BB13" s="3">
        <f t="shared" si="20"/>
        <v>1.5</v>
      </c>
      <c r="BC13" s="3">
        <f t="shared" si="21"/>
        <v>1.484375</v>
      </c>
      <c r="BD13" s="3">
        <f t="shared" si="22"/>
        <v>1.0833333333333333</v>
      </c>
    </row>
    <row r="14" spans="1:56" s="8" customFormat="1" x14ac:dyDescent="0.45">
      <c r="A14" s="8" t="s">
        <v>29</v>
      </c>
      <c r="B14" s="8" t="s">
        <v>30</v>
      </c>
      <c r="C14" s="14">
        <f t="shared" si="3"/>
        <v>6.75</v>
      </c>
      <c r="D14" s="15">
        <f t="shared" si="4"/>
        <v>0.75</v>
      </c>
      <c r="E14" s="15">
        <f t="shared" si="5"/>
        <v>0.5</v>
      </c>
      <c r="F14" s="15">
        <f t="shared" si="6"/>
        <v>1.25</v>
      </c>
      <c r="G14" s="15">
        <f t="shared" si="7"/>
        <v>1</v>
      </c>
      <c r="H14" s="15">
        <f t="shared" si="8"/>
        <v>2.25</v>
      </c>
      <c r="I14" s="15">
        <f t="shared" si="9"/>
        <v>1</v>
      </c>
      <c r="J14" s="16">
        <f t="shared" si="10"/>
        <v>6.2177083333333334</v>
      </c>
      <c r="K14" s="8">
        <v>0</v>
      </c>
      <c r="L14" s="8">
        <v>0</v>
      </c>
      <c r="M14" s="8">
        <v>0.75</v>
      </c>
      <c r="N14" s="8">
        <v>0</v>
      </c>
      <c r="O14" s="8">
        <v>0</v>
      </c>
      <c r="P14" s="8">
        <v>0</v>
      </c>
      <c r="Q14" s="8">
        <v>1</v>
      </c>
      <c r="R14" s="8">
        <v>1</v>
      </c>
      <c r="S14" s="8">
        <v>1</v>
      </c>
      <c r="T14" s="8">
        <v>1</v>
      </c>
      <c r="U14" s="8">
        <v>1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8">
        <v>1</v>
      </c>
      <c r="AB14" s="8">
        <v>0</v>
      </c>
      <c r="AC14" s="8">
        <v>0</v>
      </c>
      <c r="AD14" s="8">
        <v>0</v>
      </c>
      <c r="AE14" s="8">
        <v>1</v>
      </c>
      <c r="AF14" s="8">
        <v>1</v>
      </c>
      <c r="AG14" s="8">
        <v>0.75</v>
      </c>
      <c r="AH14" s="8">
        <v>0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R14" s="8">
        <f t="shared" si="11"/>
        <v>2</v>
      </c>
      <c r="AS14" s="8">
        <f t="shared" si="12"/>
        <v>2</v>
      </c>
      <c r="AT14" s="8">
        <f t="shared" si="13"/>
        <v>3</v>
      </c>
      <c r="AU14" s="8">
        <f t="shared" si="14"/>
        <v>3</v>
      </c>
      <c r="AV14" s="8">
        <f t="shared" si="15"/>
        <v>6.75</v>
      </c>
      <c r="AW14" s="8">
        <f t="shared" si="16"/>
        <v>2.75</v>
      </c>
      <c r="AY14" s="8">
        <f t="shared" si="17"/>
        <v>0.66666666666666663</v>
      </c>
      <c r="AZ14" s="8">
        <f t="shared" si="18"/>
        <v>0.4</v>
      </c>
      <c r="BA14" s="8">
        <f t="shared" si="19"/>
        <v>1.125</v>
      </c>
      <c r="BB14" s="8">
        <f t="shared" si="20"/>
        <v>1</v>
      </c>
      <c r="BC14" s="8">
        <f t="shared" si="21"/>
        <v>2.109375</v>
      </c>
      <c r="BD14" s="8">
        <f t="shared" si="22"/>
        <v>0.91666666666666663</v>
      </c>
    </row>
    <row r="15" spans="1:56" x14ac:dyDescent="0.45">
      <c r="A15" s="11" t="s">
        <v>31</v>
      </c>
      <c r="B15" s="11" t="s">
        <v>32</v>
      </c>
      <c r="C15" s="12">
        <f t="shared" si="3"/>
        <v>8.75</v>
      </c>
      <c r="D15" s="13">
        <f t="shared" si="4"/>
        <v>1</v>
      </c>
      <c r="E15" s="13">
        <f t="shared" si="5"/>
        <v>1</v>
      </c>
      <c r="F15" s="13">
        <f t="shared" si="6"/>
        <v>1.5</v>
      </c>
      <c r="G15" s="13">
        <f t="shared" si="7"/>
        <v>1.5</v>
      </c>
      <c r="H15" s="13">
        <f t="shared" si="8"/>
        <v>2</v>
      </c>
      <c r="I15" s="13">
        <f t="shared" si="9"/>
        <v>1.75</v>
      </c>
      <c r="J15" s="5">
        <f t="shared" si="10"/>
        <v>8.0968749999999989</v>
      </c>
      <c r="K15" s="3">
        <v>1</v>
      </c>
      <c r="L15" s="3">
        <v>1</v>
      </c>
      <c r="M15" s="8">
        <v>0.75</v>
      </c>
      <c r="N15" s="3">
        <v>0</v>
      </c>
      <c r="O15" s="3">
        <v>0</v>
      </c>
      <c r="P15" s="3">
        <v>1</v>
      </c>
      <c r="Q15" s="8">
        <v>1</v>
      </c>
      <c r="R15" s="8">
        <v>1</v>
      </c>
      <c r="S15" s="3">
        <v>1</v>
      </c>
      <c r="T15" s="3">
        <v>1</v>
      </c>
      <c r="U15" s="8">
        <v>1</v>
      </c>
      <c r="V15" s="3">
        <v>1</v>
      </c>
      <c r="W15" s="3">
        <v>1</v>
      </c>
      <c r="X15" s="3">
        <v>1</v>
      </c>
      <c r="Y15" s="8">
        <v>1</v>
      </c>
      <c r="Z15" s="3">
        <v>1</v>
      </c>
      <c r="AA15" s="3">
        <v>1</v>
      </c>
      <c r="AB15" s="4">
        <v>1</v>
      </c>
      <c r="AC15" s="4">
        <v>1</v>
      </c>
      <c r="AD15" s="4">
        <v>1</v>
      </c>
      <c r="AE15" s="3">
        <v>1</v>
      </c>
      <c r="AF15" s="4">
        <v>1</v>
      </c>
      <c r="AG15" s="4">
        <v>1</v>
      </c>
      <c r="AH15" s="3">
        <v>0</v>
      </c>
      <c r="AI15" s="3">
        <v>0</v>
      </c>
      <c r="AJ15" s="3">
        <v>0</v>
      </c>
      <c r="AK15" s="3">
        <v>0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R15" s="3">
        <f t="shared" si="11"/>
        <v>3</v>
      </c>
      <c r="AS15" s="3">
        <f t="shared" si="12"/>
        <v>4</v>
      </c>
      <c r="AT15" s="3">
        <f t="shared" si="13"/>
        <v>4</v>
      </c>
      <c r="AU15" s="3">
        <f t="shared" si="14"/>
        <v>4</v>
      </c>
      <c r="AV15" s="3">
        <f t="shared" si="15"/>
        <v>5.75</v>
      </c>
      <c r="AW15" s="3">
        <f t="shared" si="16"/>
        <v>5</v>
      </c>
      <c r="AY15" s="3">
        <f t="shared" si="17"/>
        <v>1</v>
      </c>
      <c r="AZ15" s="3">
        <f t="shared" si="18"/>
        <v>0.8</v>
      </c>
      <c r="BA15" s="3">
        <f t="shared" si="19"/>
        <v>1.5</v>
      </c>
      <c r="BB15" s="3">
        <f t="shared" si="20"/>
        <v>1.3333333333333333</v>
      </c>
      <c r="BC15" s="3">
        <f t="shared" si="21"/>
        <v>1.796875</v>
      </c>
      <c r="BD15" s="3">
        <f t="shared" si="22"/>
        <v>1.6666666666666667</v>
      </c>
    </row>
    <row r="16" spans="1:56" s="8" customFormat="1" x14ac:dyDescent="0.45">
      <c r="A16" s="8" t="s">
        <v>33</v>
      </c>
      <c r="B16" s="8" t="s">
        <v>34</v>
      </c>
      <c r="C16" s="14">
        <f t="shared" si="3"/>
        <v>5</v>
      </c>
      <c r="D16" s="15">
        <f t="shared" si="4"/>
        <v>0.5</v>
      </c>
      <c r="E16" s="15">
        <f t="shared" si="5"/>
        <v>0.25</v>
      </c>
      <c r="F16" s="15">
        <f t="shared" si="6"/>
        <v>0.75</v>
      </c>
      <c r="G16" s="15">
        <f t="shared" si="7"/>
        <v>1</v>
      </c>
      <c r="H16" s="15">
        <f t="shared" si="8"/>
        <v>1.5</v>
      </c>
      <c r="I16" s="15">
        <f t="shared" si="9"/>
        <v>1</v>
      </c>
      <c r="J16" s="16">
        <f t="shared" si="10"/>
        <v>4.3562500000000002</v>
      </c>
      <c r="K16" s="8">
        <v>0</v>
      </c>
      <c r="L16" s="8">
        <v>0</v>
      </c>
      <c r="M16" s="8">
        <v>1</v>
      </c>
      <c r="N16" s="8">
        <v>0</v>
      </c>
      <c r="O16" s="8">
        <v>0</v>
      </c>
      <c r="P16" s="8">
        <v>0</v>
      </c>
      <c r="Q16" s="8">
        <v>1</v>
      </c>
      <c r="R16" s="8">
        <v>1</v>
      </c>
      <c r="S16" s="8">
        <v>1</v>
      </c>
      <c r="T16" s="8">
        <v>1</v>
      </c>
      <c r="U16" s="8">
        <v>1</v>
      </c>
      <c r="V16" s="8">
        <v>1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0</v>
      </c>
      <c r="AC16" s="8">
        <v>0</v>
      </c>
      <c r="AD16" s="8">
        <v>0</v>
      </c>
      <c r="AE16" s="8">
        <v>0.5</v>
      </c>
      <c r="AF16" s="8">
        <v>0</v>
      </c>
      <c r="AG16" s="8">
        <v>0</v>
      </c>
      <c r="AH16" s="8">
        <v>0</v>
      </c>
      <c r="AI16" s="8">
        <v>0</v>
      </c>
      <c r="AJ16" s="8">
        <v>0.5</v>
      </c>
      <c r="AK16" s="8">
        <v>0.5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R16" s="8">
        <f t="shared" si="11"/>
        <v>1</v>
      </c>
      <c r="AS16" s="8">
        <f t="shared" si="12"/>
        <v>1</v>
      </c>
      <c r="AT16" s="8">
        <f t="shared" si="13"/>
        <v>2</v>
      </c>
      <c r="AU16" s="8">
        <f t="shared" si="14"/>
        <v>2.5</v>
      </c>
      <c r="AV16" s="8">
        <f t="shared" si="15"/>
        <v>4.5</v>
      </c>
      <c r="AW16" s="8">
        <f t="shared" si="16"/>
        <v>2.5</v>
      </c>
      <c r="AY16" s="8">
        <f t="shared" si="17"/>
        <v>0.33333333333333331</v>
      </c>
      <c r="AZ16" s="8">
        <f t="shared" si="18"/>
        <v>0.2</v>
      </c>
      <c r="BA16" s="8">
        <f t="shared" si="19"/>
        <v>0.75</v>
      </c>
      <c r="BB16" s="8">
        <f t="shared" si="20"/>
        <v>0.83333333333333337</v>
      </c>
      <c r="BC16" s="8">
        <f t="shared" si="21"/>
        <v>1.40625</v>
      </c>
      <c r="BD16" s="8">
        <f t="shared" si="22"/>
        <v>0.83333333333333337</v>
      </c>
    </row>
    <row r="17" spans="1:56" x14ac:dyDescent="0.45">
      <c r="A17" s="11" t="s">
        <v>35</v>
      </c>
      <c r="B17" s="11" t="s">
        <v>36</v>
      </c>
      <c r="C17" s="12">
        <f t="shared" si="3"/>
        <v>10</v>
      </c>
      <c r="D17" s="13">
        <f t="shared" si="4"/>
        <v>1</v>
      </c>
      <c r="E17" s="13">
        <f t="shared" si="5"/>
        <v>1</v>
      </c>
      <c r="F17" s="13">
        <f t="shared" si="6"/>
        <v>1.5</v>
      </c>
      <c r="G17" s="13">
        <f t="shared" si="7"/>
        <v>2</v>
      </c>
      <c r="H17" s="13">
        <f t="shared" si="8"/>
        <v>2.5</v>
      </c>
      <c r="I17" s="13">
        <f t="shared" si="9"/>
        <v>2</v>
      </c>
      <c r="J17" s="5">
        <f t="shared" si="10"/>
        <v>10</v>
      </c>
      <c r="K17" s="3">
        <v>1</v>
      </c>
      <c r="L17" s="3">
        <v>1</v>
      </c>
      <c r="M17" s="8">
        <v>1</v>
      </c>
      <c r="N17" s="3">
        <v>1</v>
      </c>
      <c r="O17" s="3">
        <v>1</v>
      </c>
      <c r="P17" s="3">
        <v>1</v>
      </c>
      <c r="Q17" s="8">
        <v>1</v>
      </c>
      <c r="R17" s="8">
        <v>1</v>
      </c>
      <c r="S17" s="3">
        <v>1</v>
      </c>
      <c r="T17" s="3">
        <v>1</v>
      </c>
      <c r="U17" s="8">
        <v>1</v>
      </c>
      <c r="V17" s="3">
        <v>1</v>
      </c>
      <c r="W17" s="3">
        <v>1</v>
      </c>
      <c r="X17" s="3">
        <v>1</v>
      </c>
      <c r="Y17" s="8">
        <v>1</v>
      </c>
      <c r="Z17" s="3">
        <v>1</v>
      </c>
      <c r="AA17" s="3">
        <v>1</v>
      </c>
      <c r="AB17" s="4">
        <v>1</v>
      </c>
      <c r="AC17" s="4">
        <v>1</v>
      </c>
      <c r="AD17" s="4">
        <v>1</v>
      </c>
      <c r="AE17" s="3">
        <v>1</v>
      </c>
      <c r="AF17" s="4">
        <v>1</v>
      </c>
      <c r="AG17" s="4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R17" s="3">
        <f t="shared" si="11"/>
        <v>3</v>
      </c>
      <c r="AS17" s="3">
        <f t="shared" si="12"/>
        <v>5</v>
      </c>
      <c r="AT17" s="3">
        <f t="shared" si="13"/>
        <v>4</v>
      </c>
      <c r="AU17" s="3">
        <f t="shared" si="14"/>
        <v>6</v>
      </c>
      <c r="AV17" s="3">
        <f t="shared" si="15"/>
        <v>8</v>
      </c>
      <c r="AW17" s="3">
        <f t="shared" si="16"/>
        <v>6</v>
      </c>
      <c r="AY17" s="3">
        <f t="shared" si="17"/>
        <v>1</v>
      </c>
      <c r="AZ17" s="3">
        <f t="shared" si="18"/>
        <v>1</v>
      </c>
      <c r="BA17" s="3">
        <f t="shared" si="19"/>
        <v>1.5</v>
      </c>
      <c r="BB17" s="3">
        <f t="shared" si="20"/>
        <v>2</v>
      </c>
      <c r="BC17" s="3">
        <f t="shared" si="21"/>
        <v>2.5</v>
      </c>
      <c r="BD17" s="3">
        <f t="shared" si="22"/>
        <v>2</v>
      </c>
    </row>
    <row r="18" spans="1:56" s="8" customFormat="1" x14ac:dyDescent="0.45">
      <c r="A18" s="8" t="s">
        <v>37</v>
      </c>
      <c r="B18" s="8" t="s">
        <v>15</v>
      </c>
      <c r="C18" s="14">
        <f t="shared" si="3"/>
        <v>4</v>
      </c>
      <c r="D18" s="15">
        <f t="shared" si="4"/>
        <v>0.5</v>
      </c>
      <c r="E18" s="15">
        <f t="shared" si="5"/>
        <v>0.25</v>
      </c>
      <c r="F18" s="15">
        <f t="shared" si="6"/>
        <v>0.75</v>
      </c>
      <c r="G18" s="15">
        <f t="shared" si="7"/>
        <v>0.5</v>
      </c>
      <c r="H18" s="15">
        <f t="shared" si="8"/>
        <v>1.25</v>
      </c>
      <c r="I18" s="15">
        <f t="shared" si="9"/>
        <v>0.75</v>
      </c>
      <c r="J18" s="16">
        <f t="shared" si="10"/>
        <v>3.5385416666666667</v>
      </c>
      <c r="K18" s="8">
        <v>0.5</v>
      </c>
      <c r="L18" s="8">
        <v>0</v>
      </c>
      <c r="M18" s="8">
        <v>0.75</v>
      </c>
      <c r="N18" s="8">
        <v>0</v>
      </c>
      <c r="O18" s="8">
        <v>0</v>
      </c>
      <c r="P18" s="8">
        <v>0</v>
      </c>
      <c r="Q18" s="8">
        <v>1</v>
      </c>
      <c r="R18" s="8">
        <v>1</v>
      </c>
      <c r="S18" s="8">
        <v>1</v>
      </c>
      <c r="T18" s="8">
        <v>1</v>
      </c>
      <c r="U18" s="8">
        <v>1</v>
      </c>
      <c r="V18" s="8">
        <v>0.5</v>
      </c>
      <c r="W18" s="8">
        <v>0.5</v>
      </c>
      <c r="X18" s="8">
        <v>0</v>
      </c>
      <c r="Y18" s="8">
        <v>1</v>
      </c>
      <c r="Z18" s="8">
        <v>0.75</v>
      </c>
      <c r="AA18" s="8">
        <v>0</v>
      </c>
      <c r="AB18" s="8">
        <v>0</v>
      </c>
      <c r="AC18" s="8">
        <v>0</v>
      </c>
      <c r="AD18" s="8">
        <v>0.5</v>
      </c>
      <c r="AE18" s="8">
        <v>0.5</v>
      </c>
      <c r="AF18" s="8">
        <v>0.5</v>
      </c>
      <c r="AG18" s="8">
        <v>0.5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R18" s="8">
        <f t="shared" si="11"/>
        <v>1.5</v>
      </c>
      <c r="AS18" s="8">
        <f t="shared" si="12"/>
        <v>1</v>
      </c>
      <c r="AT18" s="8">
        <f t="shared" si="13"/>
        <v>1.75</v>
      </c>
      <c r="AU18" s="8">
        <f t="shared" si="14"/>
        <v>1.5</v>
      </c>
      <c r="AV18" s="8">
        <f t="shared" si="15"/>
        <v>3.25</v>
      </c>
      <c r="AW18" s="8">
        <f t="shared" si="16"/>
        <v>2</v>
      </c>
      <c r="AY18" s="8">
        <f t="shared" si="17"/>
        <v>0.5</v>
      </c>
      <c r="AZ18" s="8">
        <f t="shared" si="18"/>
        <v>0.2</v>
      </c>
      <c r="BA18" s="8">
        <f t="shared" si="19"/>
        <v>0.65625</v>
      </c>
      <c r="BB18" s="8">
        <f t="shared" si="20"/>
        <v>0.5</v>
      </c>
      <c r="BC18" s="8">
        <f t="shared" si="21"/>
        <v>1.015625</v>
      </c>
      <c r="BD18" s="8">
        <f t="shared" si="22"/>
        <v>0.66666666666666663</v>
      </c>
    </row>
    <row r="19" spans="1:56" x14ac:dyDescent="0.45">
      <c r="A19" s="11" t="s">
        <v>38</v>
      </c>
      <c r="B19" s="11" t="s">
        <v>39</v>
      </c>
      <c r="C19" s="12">
        <f t="shared" si="3"/>
        <v>2</v>
      </c>
      <c r="D19" s="13">
        <f t="shared" si="4"/>
        <v>0.5</v>
      </c>
      <c r="E19" s="13">
        <f t="shared" si="5"/>
        <v>0.25</v>
      </c>
      <c r="F19" s="13">
        <f t="shared" si="6"/>
        <v>0.5</v>
      </c>
      <c r="G19" s="13">
        <f t="shared" si="7"/>
        <v>0</v>
      </c>
      <c r="H19" s="13">
        <f t="shared" si="8"/>
        <v>0.75</v>
      </c>
      <c r="I19" s="13">
        <f t="shared" si="9"/>
        <v>0</v>
      </c>
      <c r="J19" s="5">
        <f t="shared" si="10"/>
        <v>1.4333333333333333</v>
      </c>
      <c r="K19" s="3">
        <v>0</v>
      </c>
      <c r="L19" s="3">
        <v>0</v>
      </c>
      <c r="M19" s="8">
        <v>1</v>
      </c>
      <c r="N19" s="3">
        <v>0</v>
      </c>
      <c r="O19" s="3">
        <v>0</v>
      </c>
      <c r="P19" s="3">
        <v>0</v>
      </c>
      <c r="Q19" s="8">
        <v>1</v>
      </c>
      <c r="R19" s="8">
        <v>1</v>
      </c>
      <c r="S19" s="3">
        <v>0</v>
      </c>
      <c r="T19" s="3">
        <v>0</v>
      </c>
      <c r="U19" s="8">
        <v>0</v>
      </c>
      <c r="V19" s="3">
        <v>0</v>
      </c>
      <c r="W19" s="3">
        <v>0</v>
      </c>
      <c r="X19" s="3">
        <v>0</v>
      </c>
      <c r="Y19" s="8">
        <v>1</v>
      </c>
      <c r="Z19" s="3">
        <v>0</v>
      </c>
      <c r="AA19" s="3">
        <v>0</v>
      </c>
      <c r="AB19" s="7">
        <v>0</v>
      </c>
      <c r="AC19" s="7">
        <v>0</v>
      </c>
      <c r="AD19" s="7">
        <v>0</v>
      </c>
      <c r="AE19" s="3">
        <v>0</v>
      </c>
      <c r="AF19" s="7">
        <v>0.5</v>
      </c>
      <c r="AG19" s="7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R19" s="3">
        <f t="shared" si="11"/>
        <v>1</v>
      </c>
      <c r="AS19" s="3">
        <f t="shared" si="12"/>
        <v>0.5</v>
      </c>
      <c r="AT19" s="3">
        <f t="shared" si="13"/>
        <v>1</v>
      </c>
      <c r="AU19" s="3">
        <f t="shared" si="14"/>
        <v>0</v>
      </c>
      <c r="AV19" s="3">
        <f t="shared" si="15"/>
        <v>2</v>
      </c>
      <c r="AW19" s="3">
        <f t="shared" si="16"/>
        <v>0</v>
      </c>
      <c r="AY19" s="3">
        <f t="shared" si="17"/>
        <v>0.33333333333333331</v>
      </c>
      <c r="AZ19" s="3">
        <f t="shared" si="18"/>
        <v>0.1</v>
      </c>
      <c r="BA19" s="3">
        <f t="shared" si="19"/>
        <v>0.375</v>
      </c>
      <c r="BB19" s="3">
        <f t="shared" si="20"/>
        <v>0</v>
      </c>
      <c r="BC19" s="3">
        <f t="shared" si="21"/>
        <v>0.625</v>
      </c>
      <c r="BD19" s="3">
        <f t="shared" si="22"/>
        <v>0</v>
      </c>
    </row>
    <row r="20" spans="1:56" s="8" customFormat="1" x14ac:dyDescent="0.45">
      <c r="A20" s="8" t="s">
        <v>40</v>
      </c>
      <c r="B20" s="8" t="s">
        <v>32</v>
      </c>
      <c r="C20" s="14">
        <f t="shared" si="3"/>
        <v>6.25</v>
      </c>
      <c r="D20" s="15">
        <f t="shared" si="4"/>
        <v>0.75</v>
      </c>
      <c r="E20" s="15">
        <f t="shared" si="5"/>
        <v>0.75</v>
      </c>
      <c r="F20" s="15">
        <f t="shared" si="6"/>
        <v>1.25</v>
      </c>
      <c r="G20" s="15">
        <f t="shared" si="7"/>
        <v>1.25</v>
      </c>
      <c r="H20" s="15">
        <f t="shared" si="8"/>
        <v>1.25</v>
      </c>
      <c r="I20" s="15">
        <f t="shared" si="9"/>
        <v>1</v>
      </c>
      <c r="J20" s="16">
        <f t="shared" si="10"/>
        <v>5.8083333333333336</v>
      </c>
      <c r="K20" s="8">
        <v>1</v>
      </c>
      <c r="L20" s="8">
        <v>1</v>
      </c>
      <c r="M20" s="8">
        <v>1</v>
      </c>
      <c r="N20" s="8">
        <v>0</v>
      </c>
      <c r="O20" s="8">
        <v>0</v>
      </c>
      <c r="P20" s="8">
        <v>0</v>
      </c>
      <c r="Q20" s="8">
        <v>1</v>
      </c>
      <c r="R20" s="8">
        <v>1</v>
      </c>
      <c r="S20" s="8">
        <v>1</v>
      </c>
      <c r="T20" s="8">
        <v>1</v>
      </c>
      <c r="U20" s="8">
        <v>1</v>
      </c>
      <c r="V20" s="8">
        <v>0.5</v>
      </c>
      <c r="W20" s="8">
        <v>0.5</v>
      </c>
      <c r="X20" s="8">
        <v>0</v>
      </c>
      <c r="Y20" s="8">
        <v>0</v>
      </c>
      <c r="Z20" s="8">
        <v>1</v>
      </c>
      <c r="AA20" s="8">
        <v>1</v>
      </c>
      <c r="AB20" s="8">
        <v>0.5</v>
      </c>
      <c r="AC20" s="8">
        <v>1</v>
      </c>
      <c r="AD20" s="8">
        <v>1</v>
      </c>
      <c r="AE20" s="8">
        <v>0</v>
      </c>
      <c r="AF20" s="8">
        <v>1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1</v>
      </c>
      <c r="AM20" s="8">
        <v>1</v>
      </c>
      <c r="AN20" s="8">
        <v>1</v>
      </c>
      <c r="AO20" s="8">
        <v>0</v>
      </c>
      <c r="AP20" s="8">
        <v>0</v>
      </c>
      <c r="AR20" s="8">
        <f t="shared" si="11"/>
        <v>2</v>
      </c>
      <c r="AS20" s="8">
        <f t="shared" si="12"/>
        <v>3</v>
      </c>
      <c r="AT20" s="8">
        <f t="shared" si="13"/>
        <v>3</v>
      </c>
      <c r="AU20" s="8">
        <f t="shared" si="14"/>
        <v>3.5</v>
      </c>
      <c r="AV20" s="8">
        <f t="shared" si="15"/>
        <v>4</v>
      </c>
      <c r="AW20" s="8">
        <f t="shared" si="16"/>
        <v>3</v>
      </c>
      <c r="AY20" s="8">
        <f t="shared" si="17"/>
        <v>0.66666666666666663</v>
      </c>
      <c r="AZ20" s="8">
        <f t="shared" si="18"/>
        <v>0.6</v>
      </c>
      <c r="BA20" s="8">
        <f t="shared" si="19"/>
        <v>1.125</v>
      </c>
      <c r="BB20" s="8">
        <f t="shared" si="20"/>
        <v>1.1666666666666667</v>
      </c>
      <c r="BC20" s="8">
        <f t="shared" si="21"/>
        <v>1.25</v>
      </c>
      <c r="BD20" s="8">
        <f t="shared" si="22"/>
        <v>1</v>
      </c>
    </row>
    <row r="21" spans="1:56" x14ac:dyDescent="0.45">
      <c r="A21" s="11" t="s">
        <v>41</v>
      </c>
      <c r="B21" s="11" t="s">
        <v>42</v>
      </c>
      <c r="C21" s="12">
        <f t="shared" si="3"/>
        <v>3</v>
      </c>
      <c r="D21" s="13">
        <f t="shared" si="4"/>
        <v>0.5</v>
      </c>
      <c r="E21" s="13">
        <f t="shared" si="5"/>
        <v>0.5</v>
      </c>
      <c r="F21" s="13">
        <f t="shared" si="6"/>
        <v>0.5</v>
      </c>
      <c r="G21" s="13">
        <f t="shared" si="7"/>
        <v>0.5</v>
      </c>
      <c r="H21" s="13">
        <f t="shared" si="8"/>
        <v>1</v>
      </c>
      <c r="I21" s="13">
        <f t="shared" si="9"/>
        <v>0</v>
      </c>
      <c r="J21" s="5">
        <f t="shared" si="10"/>
        <v>2.3677083333333333</v>
      </c>
      <c r="K21" s="3">
        <v>0</v>
      </c>
      <c r="L21" s="3">
        <v>0</v>
      </c>
      <c r="M21" s="8">
        <v>0.75</v>
      </c>
      <c r="N21" s="3">
        <v>0</v>
      </c>
      <c r="O21" s="3">
        <v>0</v>
      </c>
      <c r="P21" s="3">
        <v>0</v>
      </c>
      <c r="Q21" s="8">
        <v>1</v>
      </c>
      <c r="R21" s="8">
        <v>1</v>
      </c>
      <c r="S21" s="3">
        <v>1</v>
      </c>
      <c r="T21" s="3">
        <v>0</v>
      </c>
      <c r="U21" s="8">
        <v>1</v>
      </c>
      <c r="V21" s="3">
        <v>0.5</v>
      </c>
      <c r="W21" s="3">
        <v>0.5</v>
      </c>
      <c r="X21" s="3">
        <v>0</v>
      </c>
      <c r="Y21" s="8">
        <v>1</v>
      </c>
      <c r="Z21" s="3">
        <v>0</v>
      </c>
      <c r="AA21" s="3">
        <v>0</v>
      </c>
      <c r="AB21" s="4">
        <v>0.5</v>
      </c>
      <c r="AC21" s="4">
        <v>0</v>
      </c>
      <c r="AD21" s="4">
        <v>0</v>
      </c>
      <c r="AE21" s="3">
        <v>0</v>
      </c>
      <c r="AF21" s="4">
        <v>0.5</v>
      </c>
      <c r="AG21" s="4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R21" s="3">
        <f t="shared" si="11"/>
        <v>1</v>
      </c>
      <c r="AS21" s="3">
        <f t="shared" si="12"/>
        <v>1.5</v>
      </c>
      <c r="AT21" s="3">
        <f t="shared" si="13"/>
        <v>1</v>
      </c>
      <c r="AU21" s="3">
        <f t="shared" si="14"/>
        <v>1.5</v>
      </c>
      <c r="AV21" s="3">
        <f t="shared" si="15"/>
        <v>2.75</v>
      </c>
      <c r="AW21" s="3">
        <f t="shared" si="16"/>
        <v>0</v>
      </c>
      <c r="AY21" s="3">
        <f t="shared" si="17"/>
        <v>0.33333333333333331</v>
      </c>
      <c r="AZ21" s="3">
        <f t="shared" si="18"/>
        <v>0.3</v>
      </c>
      <c r="BA21" s="3">
        <f t="shared" si="19"/>
        <v>0.375</v>
      </c>
      <c r="BB21" s="3">
        <f t="shared" si="20"/>
        <v>0.5</v>
      </c>
      <c r="BC21" s="3">
        <f t="shared" si="21"/>
        <v>0.859375</v>
      </c>
      <c r="BD21" s="3">
        <f t="shared" si="22"/>
        <v>0</v>
      </c>
    </row>
    <row r="22" spans="1:56" s="8" customFormat="1" x14ac:dyDescent="0.45">
      <c r="A22" s="8" t="s">
        <v>43</v>
      </c>
      <c r="B22" s="8" t="s">
        <v>44</v>
      </c>
      <c r="C22" s="14">
        <f t="shared" si="3"/>
        <v>7.5</v>
      </c>
      <c r="D22" s="15">
        <f t="shared" si="4"/>
        <v>0.5</v>
      </c>
      <c r="E22" s="15">
        <f t="shared" si="5"/>
        <v>0.75</v>
      </c>
      <c r="F22" s="15">
        <f t="shared" si="6"/>
        <v>0.75</v>
      </c>
      <c r="G22" s="15">
        <f t="shared" si="7"/>
        <v>1.75</v>
      </c>
      <c r="H22" s="15">
        <f t="shared" si="8"/>
        <v>1.75</v>
      </c>
      <c r="I22" s="15">
        <f t="shared" si="9"/>
        <v>2</v>
      </c>
      <c r="J22" s="16">
        <f t="shared" si="10"/>
        <v>7.0125000000000002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1</v>
      </c>
      <c r="Q22" s="8">
        <v>1</v>
      </c>
      <c r="R22" s="8">
        <v>1</v>
      </c>
      <c r="S22" s="8">
        <v>1</v>
      </c>
      <c r="T22" s="8">
        <v>1</v>
      </c>
      <c r="U22" s="8">
        <v>1</v>
      </c>
      <c r="V22" s="8">
        <v>1</v>
      </c>
      <c r="W22" s="8">
        <v>1</v>
      </c>
      <c r="X22" s="8">
        <v>1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0</v>
      </c>
      <c r="AF22" s="8">
        <v>0.5</v>
      </c>
      <c r="AG22" s="8">
        <v>1</v>
      </c>
      <c r="AH22" s="8">
        <v>0</v>
      </c>
      <c r="AI22" s="8">
        <v>0.25</v>
      </c>
      <c r="AJ22" s="8">
        <v>1</v>
      </c>
      <c r="AK22" s="8">
        <v>1</v>
      </c>
      <c r="AL22" s="8">
        <v>1</v>
      </c>
      <c r="AM22" s="8">
        <v>1</v>
      </c>
      <c r="AN22" s="8">
        <v>0.75</v>
      </c>
      <c r="AO22" s="8">
        <v>0</v>
      </c>
      <c r="AP22" s="8">
        <v>0</v>
      </c>
      <c r="AR22" s="8">
        <f t="shared" si="11"/>
        <v>1</v>
      </c>
      <c r="AS22" s="8">
        <f t="shared" si="12"/>
        <v>3.5</v>
      </c>
      <c r="AT22" s="8">
        <f t="shared" si="13"/>
        <v>2</v>
      </c>
      <c r="AU22" s="8">
        <f t="shared" si="14"/>
        <v>5</v>
      </c>
      <c r="AV22" s="8">
        <f t="shared" si="15"/>
        <v>5</v>
      </c>
      <c r="AW22" s="8">
        <f t="shared" si="16"/>
        <v>6</v>
      </c>
      <c r="AY22" s="8">
        <f t="shared" si="17"/>
        <v>0.33333333333333331</v>
      </c>
      <c r="AZ22" s="8">
        <f t="shared" si="18"/>
        <v>0.7</v>
      </c>
      <c r="BA22" s="8">
        <f t="shared" si="19"/>
        <v>0.75</v>
      </c>
      <c r="BB22" s="8">
        <f t="shared" si="20"/>
        <v>1.6666666666666667</v>
      </c>
      <c r="BC22" s="8">
        <f t="shared" si="21"/>
        <v>1.5625</v>
      </c>
      <c r="BD22" s="8">
        <f t="shared" si="22"/>
        <v>2</v>
      </c>
    </row>
    <row r="23" spans="1:56" x14ac:dyDescent="0.45">
      <c r="A23" s="11" t="s">
        <v>45</v>
      </c>
      <c r="B23" s="11" t="s">
        <v>46</v>
      </c>
      <c r="C23" s="12">
        <f t="shared" si="3"/>
        <v>6.25</v>
      </c>
      <c r="D23" s="13">
        <f t="shared" si="4"/>
        <v>1</v>
      </c>
      <c r="E23" s="13">
        <f t="shared" si="5"/>
        <v>0.75</v>
      </c>
      <c r="F23" s="13">
        <f t="shared" si="6"/>
        <v>0.75</v>
      </c>
      <c r="G23" s="13">
        <f t="shared" si="7"/>
        <v>1</v>
      </c>
      <c r="H23" s="13">
        <f t="shared" si="8"/>
        <v>1.5</v>
      </c>
      <c r="I23" s="13">
        <f t="shared" si="9"/>
        <v>1.25</v>
      </c>
      <c r="J23" s="5">
        <f t="shared" si="10"/>
        <v>5.8562500000000002</v>
      </c>
      <c r="K23" s="3">
        <v>1</v>
      </c>
      <c r="L23" s="3">
        <v>0</v>
      </c>
      <c r="M23" s="8">
        <v>1</v>
      </c>
      <c r="N23" s="3">
        <v>1</v>
      </c>
      <c r="O23" s="3">
        <v>1</v>
      </c>
      <c r="P23" s="3">
        <v>1</v>
      </c>
      <c r="Q23" s="8">
        <v>1</v>
      </c>
      <c r="R23" s="8">
        <v>1</v>
      </c>
      <c r="S23" s="3">
        <v>1</v>
      </c>
      <c r="T23" s="3">
        <v>1</v>
      </c>
      <c r="U23" s="8">
        <v>1</v>
      </c>
      <c r="V23" s="3">
        <v>0</v>
      </c>
      <c r="W23" s="3">
        <v>0</v>
      </c>
      <c r="X23" s="3">
        <v>0</v>
      </c>
      <c r="Y23" s="8">
        <v>1</v>
      </c>
      <c r="Z23" s="3">
        <v>1</v>
      </c>
      <c r="AA23" s="3">
        <v>1</v>
      </c>
      <c r="AB23" s="4">
        <v>0.5</v>
      </c>
      <c r="AC23" s="4">
        <v>0</v>
      </c>
      <c r="AD23" s="4">
        <v>0.5</v>
      </c>
      <c r="AE23" s="3">
        <v>0.5</v>
      </c>
      <c r="AF23" s="4">
        <v>1</v>
      </c>
      <c r="AG23" s="4">
        <v>1</v>
      </c>
      <c r="AH23" s="3">
        <v>0</v>
      </c>
      <c r="AI23" s="3">
        <v>0</v>
      </c>
      <c r="AJ23" s="3">
        <v>0</v>
      </c>
      <c r="AK23" s="3">
        <v>0</v>
      </c>
      <c r="AL23" s="3">
        <v>1</v>
      </c>
      <c r="AM23" s="3">
        <v>1</v>
      </c>
      <c r="AN23" s="3">
        <v>0</v>
      </c>
      <c r="AO23" s="3">
        <v>0.5</v>
      </c>
      <c r="AP23" s="3">
        <v>0</v>
      </c>
      <c r="AR23" s="3">
        <f t="shared" si="11"/>
        <v>2.5</v>
      </c>
      <c r="AS23" s="3">
        <f t="shared" si="12"/>
        <v>3.5</v>
      </c>
      <c r="AT23" s="3">
        <f t="shared" si="13"/>
        <v>2</v>
      </c>
      <c r="AU23" s="3">
        <f t="shared" si="14"/>
        <v>3</v>
      </c>
      <c r="AV23" s="3">
        <f t="shared" si="15"/>
        <v>4.5</v>
      </c>
      <c r="AW23" s="3">
        <f t="shared" si="16"/>
        <v>3.5</v>
      </c>
      <c r="AY23" s="3">
        <f t="shared" si="17"/>
        <v>0.83333333333333337</v>
      </c>
      <c r="AZ23" s="3">
        <f t="shared" si="18"/>
        <v>0.7</v>
      </c>
      <c r="BA23" s="3">
        <f t="shared" si="19"/>
        <v>0.75</v>
      </c>
      <c r="BB23" s="3">
        <f t="shared" si="20"/>
        <v>1</v>
      </c>
      <c r="BC23" s="3">
        <f t="shared" si="21"/>
        <v>1.40625</v>
      </c>
      <c r="BD23" s="3">
        <f t="shared" si="22"/>
        <v>1.1666666666666667</v>
      </c>
    </row>
    <row r="24" spans="1:56" s="8" customFormat="1" x14ac:dyDescent="0.45">
      <c r="A24" s="8" t="s">
        <v>47</v>
      </c>
      <c r="B24" s="8" t="s">
        <v>48</v>
      </c>
      <c r="C24" s="14">
        <f t="shared" si="3"/>
        <v>8.25</v>
      </c>
      <c r="D24" s="15">
        <f t="shared" si="4"/>
        <v>0.5</v>
      </c>
      <c r="E24" s="15">
        <f t="shared" si="5"/>
        <v>1</v>
      </c>
      <c r="F24" s="15">
        <f t="shared" si="6"/>
        <v>1</v>
      </c>
      <c r="G24" s="15">
        <f t="shared" si="7"/>
        <v>2</v>
      </c>
      <c r="H24" s="15">
        <f t="shared" si="8"/>
        <v>2</v>
      </c>
      <c r="I24" s="15">
        <f t="shared" si="9"/>
        <v>1.75</v>
      </c>
      <c r="J24" s="16">
        <f t="shared" si="10"/>
        <v>7.8739583333333334</v>
      </c>
      <c r="K24" s="8">
        <v>0.5</v>
      </c>
      <c r="L24" s="8">
        <v>0.5</v>
      </c>
      <c r="M24" s="8">
        <v>1</v>
      </c>
      <c r="N24" s="8">
        <v>1</v>
      </c>
      <c r="O24" s="8">
        <v>1</v>
      </c>
      <c r="P24" s="8">
        <v>1</v>
      </c>
      <c r="Q24" s="8">
        <v>1</v>
      </c>
      <c r="R24" s="8">
        <v>1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1</v>
      </c>
      <c r="Z24" s="8">
        <v>1</v>
      </c>
      <c r="AA24" s="8">
        <v>1</v>
      </c>
      <c r="AB24" s="8">
        <v>0.5</v>
      </c>
      <c r="AC24" s="8">
        <v>0.5</v>
      </c>
      <c r="AD24" s="8">
        <v>0.5</v>
      </c>
      <c r="AE24" s="8">
        <v>0.25</v>
      </c>
      <c r="AF24" s="8">
        <v>1</v>
      </c>
      <c r="AG24" s="8">
        <v>0.75</v>
      </c>
      <c r="AH24" s="8">
        <v>0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0</v>
      </c>
      <c r="AP24" s="8">
        <v>0</v>
      </c>
      <c r="AR24" s="8">
        <f t="shared" si="11"/>
        <v>1.5</v>
      </c>
      <c r="AS24" s="8">
        <f t="shared" si="12"/>
        <v>4.5</v>
      </c>
      <c r="AT24" s="8">
        <f t="shared" si="13"/>
        <v>2.5</v>
      </c>
      <c r="AU24" s="8">
        <f t="shared" si="14"/>
        <v>5.5</v>
      </c>
      <c r="AV24" s="8">
        <f t="shared" si="15"/>
        <v>6.25</v>
      </c>
      <c r="AW24" s="8">
        <f t="shared" si="16"/>
        <v>5.25</v>
      </c>
      <c r="AY24" s="8">
        <f t="shared" si="17"/>
        <v>0.5</v>
      </c>
      <c r="AZ24" s="8">
        <f t="shared" si="18"/>
        <v>0.9</v>
      </c>
      <c r="BA24" s="8">
        <f t="shared" si="19"/>
        <v>0.9375</v>
      </c>
      <c r="BB24" s="8">
        <f t="shared" si="20"/>
        <v>1.8333333333333333</v>
      </c>
      <c r="BC24" s="8">
        <f t="shared" si="21"/>
        <v>1.953125</v>
      </c>
      <c r="BD24" s="8">
        <f t="shared" si="22"/>
        <v>1.75</v>
      </c>
    </row>
    <row r="25" spans="1:56" x14ac:dyDescent="0.45">
      <c r="A25" s="11" t="s">
        <v>49</v>
      </c>
      <c r="B25" s="11" t="s">
        <v>50</v>
      </c>
      <c r="C25" s="12">
        <f t="shared" si="3"/>
        <v>4.75</v>
      </c>
      <c r="D25" s="13">
        <f t="shared" si="4"/>
        <v>0.5</v>
      </c>
      <c r="E25" s="13">
        <f t="shared" si="5"/>
        <v>0.5</v>
      </c>
      <c r="F25" s="13">
        <f t="shared" si="6"/>
        <v>1</v>
      </c>
      <c r="G25" s="13">
        <f t="shared" si="7"/>
        <v>0.75</v>
      </c>
      <c r="H25" s="13">
        <f t="shared" si="8"/>
        <v>1</v>
      </c>
      <c r="I25" s="13">
        <f t="shared" si="9"/>
        <v>1</v>
      </c>
      <c r="J25" s="5">
        <f t="shared" si="10"/>
        <v>4.1916666666666664</v>
      </c>
      <c r="K25" s="3">
        <v>0</v>
      </c>
      <c r="L25" s="3">
        <v>0.5</v>
      </c>
      <c r="M25" s="8">
        <v>1</v>
      </c>
      <c r="N25" s="3">
        <v>1</v>
      </c>
      <c r="O25" s="3">
        <v>1</v>
      </c>
      <c r="P25" s="3">
        <v>1</v>
      </c>
      <c r="Q25" s="8">
        <v>1</v>
      </c>
      <c r="R25" s="8">
        <v>1</v>
      </c>
      <c r="S25" s="3">
        <v>0</v>
      </c>
      <c r="T25" s="3">
        <v>1</v>
      </c>
      <c r="U25" s="8">
        <v>0.75</v>
      </c>
      <c r="V25" s="3">
        <v>0</v>
      </c>
      <c r="W25" s="3">
        <v>0</v>
      </c>
      <c r="X25" s="3">
        <v>0</v>
      </c>
      <c r="Y25" s="8">
        <v>1</v>
      </c>
      <c r="Z25" s="3">
        <v>1</v>
      </c>
      <c r="AA25" s="3">
        <v>1</v>
      </c>
      <c r="AB25" s="4">
        <v>0.5</v>
      </c>
      <c r="AC25" s="4">
        <v>0.5</v>
      </c>
      <c r="AD25" s="4">
        <v>0.5</v>
      </c>
      <c r="AE25" s="3">
        <v>0</v>
      </c>
      <c r="AF25" s="7">
        <v>0.5</v>
      </c>
      <c r="AG25" s="7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R25" s="3">
        <f t="shared" si="11"/>
        <v>1</v>
      </c>
      <c r="AS25" s="3">
        <f t="shared" si="12"/>
        <v>2</v>
      </c>
      <c r="AT25" s="3">
        <f t="shared" si="13"/>
        <v>2.5</v>
      </c>
      <c r="AU25" s="3">
        <f t="shared" si="14"/>
        <v>2.25</v>
      </c>
      <c r="AV25" s="3">
        <f t="shared" si="15"/>
        <v>3</v>
      </c>
      <c r="AW25" s="3">
        <f t="shared" si="16"/>
        <v>2.5</v>
      </c>
      <c r="AY25" s="3">
        <f t="shared" si="17"/>
        <v>0.33333333333333331</v>
      </c>
      <c r="AZ25" s="3">
        <f t="shared" si="18"/>
        <v>0.4</v>
      </c>
      <c r="BA25" s="3">
        <f t="shared" si="19"/>
        <v>0.9375</v>
      </c>
      <c r="BB25" s="3">
        <f t="shared" si="20"/>
        <v>0.75</v>
      </c>
      <c r="BC25" s="3">
        <f t="shared" si="21"/>
        <v>0.9375</v>
      </c>
      <c r="BD25" s="3">
        <f t="shared" si="22"/>
        <v>0.83333333333333337</v>
      </c>
    </row>
    <row r="26" spans="1:56" s="8" customFormat="1" x14ac:dyDescent="0.45">
      <c r="A26" s="8" t="s">
        <v>51</v>
      </c>
      <c r="B26" s="8" t="s">
        <v>52</v>
      </c>
      <c r="C26" s="14">
        <f t="shared" si="3"/>
        <v>4</v>
      </c>
      <c r="D26" s="15">
        <f t="shared" si="4"/>
        <v>0.5</v>
      </c>
      <c r="E26" s="15">
        <f t="shared" si="5"/>
        <v>0.25</v>
      </c>
      <c r="F26" s="15">
        <f t="shared" si="6"/>
        <v>1</v>
      </c>
      <c r="G26" s="15">
        <f t="shared" si="7"/>
        <v>0.5</v>
      </c>
      <c r="H26" s="15">
        <f t="shared" si="8"/>
        <v>1.25</v>
      </c>
      <c r="I26" s="15">
        <f t="shared" si="9"/>
        <v>0.5</v>
      </c>
      <c r="J26" s="16">
        <f t="shared" si="10"/>
        <v>3.5645833333333337</v>
      </c>
      <c r="K26" s="8">
        <v>0.5</v>
      </c>
      <c r="L26" s="8">
        <v>0.5</v>
      </c>
      <c r="M26" s="8">
        <v>0.5</v>
      </c>
      <c r="N26" s="8">
        <v>0</v>
      </c>
      <c r="O26" s="8">
        <v>0</v>
      </c>
      <c r="P26" s="8">
        <v>0</v>
      </c>
      <c r="Q26" s="8">
        <v>1</v>
      </c>
      <c r="R26" s="8">
        <v>1</v>
      </c>
      <c r="S26" s="8">
        <v>1</v>
      </c>
      <c r="T26" s="8">
        <v>1</v>
      </c>
      <c r="U26" s="8">
        <v>1</v>
      </c>
      <c r="V26" s="8">
        <v>0.5</v>
      </c>
      <c r="W26" s="8">
        <v>0.5</v>
      </c>
      <c r="X26" s="8">
        <v>0</v>
      </c>
      <c r="Y26" s="8">
        <v>1</v>
      </c>
      <c r="Z26" s="8">
        <v>1</v>
      </c>
      <c r="AA26" s="8">
        <v>1</v>
      </c>
      <c r="AB26" s="8">
        <v>0</v>
      </c>
      <c r="AC26" s="8">
        <v>0</v>
      </c>
      <c r="AD26" s="8">
        <v>0</v>
      </c>
      <c r="AE26" s="8">
        <v>0</v>
      </c>
      <c r="AF26" s="8">
        <v>0.5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R26" s="8">
        <f t="shared" si="11"/>
        <v>1.5</v>
      </c>
      <c r="AS26" s="8">
        <f t="shared" si="12"/>
        <v>1</v>
      </c>
      <c r="AT26" s="8">
        <f t="shared" si="13"/>
        <v>2.5</v>
      </c>
      <c r="AU26" s="8">
        <f t="shared" si="14"/>
        <v>1.5</v>
      </c>
      <c r="AV26" s="8">
        <f t="shared" si="15"/>
        <v>3.5</v>
      </c>
      <c r="AW26" s="8">
        <f t="shared" si="16"/>
        <v>1</v>
      </c>
      <c r="AY26" s="8">
        <f t="shared" si="17"/>
        <v>0.5</v>
      </c>
      <c r="AZ26" s="8">
        <f t="shared" si="18"/>
        <v>0.2</v>
      </c>
      <c r="BA26" s="8">
        <f t="shared" si="19"/>
        <v>0.9375</v>
      </c>
      <c r="BB26" s="8">
        <f t="shared" si="20"/>
        <v>0.5</v>
      </c>
      <c r="BC26" s="8">
        <f t="shared" si="21"/>
        <v>1.09375</v>
      </c>
      <c r="BD26" s="8">
        <f t="shared" si="22"/>
        <v>0.33333333333333331</v>
      </c>
    </row>
    <row r="27" spans="1:56" x14ac:dyDescent="0.45">
      <c r="A27" s="11" t="s">
        <v>53</v>
      </c>
      <c r="B27" s="11" t="s">
        <v>54</v>
      </c>
      <c r="C27" s="12">
        <f t="shared" si="3"/>
        <v>5.5</v>
      </c>
      <c r="D27" s="13">
        <f t="shared" si="4"/>
        <v>0.5</v>
      </c>
      <c r="E27" s="13">
        <f t="shared" si="5"/>
        <v>0.5</v>
      </c>
      <c r="F27" s="13">
        <f t="shared" si="6"/>
        <v>0.75</v>
      </c>
      <c r="G27" s="13">
        <f t="shared" si="7"/>
        <v>1.25</v>
      </c>
      <c r="H27" s="13">
        <f t="shared" si="8"/>
        <v>1.5</v>
      </c>
      <c r="I27" s="13">
        <f t="shared" si="9"/>
        <v>1</v>
      </c>
      <c r="J27" s="5">
        <f t="shared" si="10"/>
        <v>5.0562499999999995</v>
      </c>
      <c r="K27" s="3">
        <v>0.5</v>
      </c>
      <c r="L27" s="3">
        <v>0</v>
      </c>
      <c r="M27" s="8">
        <v>0.75</v>
      </c>
      <c r="N27" s="3">
        <v>0</v>
      </c>
      <c r="O27" s="3">
        <v>0</v>
      </c>
      <c r="P27" s="3">
        <v>0</v>
      </c>
      <c r="Q27" s="8">
        <v>1</v>
      </c>
      <c r="R27" s="8">
        <v>1</v>
      </c>
      <c r="S27" s="3">
        <v>0.75</v>
      </c>
      <c r="T27" s="3">
        <v>1</v>
      </c>
      <c r="U27" s="8">
        <v>1</v>
      </c>
      <c r="V27" s="3">
        <v>0</v>
      </c>
      <c r="W27" s="3">
        <v>0</v>
      </c>
      <c r="X27" s="3">
        <v>0</v>
      </c>
      <c r="Y27" s="8">
        <v>1</v>
      </c>
      <c r="Z27" s="3">
        <v>1</v>
      </c>
      <c r="AA27" s="3">
        <v>1</v>
      </c>
      <c r="AB27" s="4" t="s">
        <v>65</v>
      </c>
      <c r="AC27" s="4">
        <v>0.5</v>
      </c>
      <c r="AD27" s="4">
        <v>0.75</v>
      </c>
      <c r="AE27" s="3">
        <v>0</v>
      </c>
      <c r="AF27" s="4">
        <v>1</v>
      </c>
      <c r="AG27" s="4">
        <v>0.75</v>
      </c>
      <c r="AH27" s="3">
        <v>0</v>
      </c>
      <c r="AI27" s="3">
        <v>0.25</v>
      </c>
      <c r="AJ27" s="3">
        <v>1</v>
      </c>
      <c r="AK27" s="3">
        <v>0</v>
      </c>
      <c r="AL27" s="3">
        <v>1</v>
      </c>
      <c r="AM27" s="3">
        <v>1</v>
      </c>
      <c r="AN27" s="3">
        <v>0.75</v>
      </c>
      <c r="AO27" s="3">
        <v>0</v>
      </c>
      <c r="AP27" s="3">
        <v>0</v>
      </c>
      <c r="AR27" s="3">
        <f t="shared" si="11"/>
        <v>1.5</v>
      </c>
      <c r="AS27" s="3">
        <f t="shared" si="12"/>
        <v>2</v>
      </c>
      <c r="AT27" s="3">
        <f t="shared" si="13"/>
        <v>2</v>
      </c>
      <c r="AU27" s="3">
        <f t="shared" si="14"/>
        <v>3.5</v>
      </c>
      <c r="AV27" s="3">
        <f t="shared" si="15"/>
        <v>4.5</v>
      </c>
      <c r="AW27" s="3">
        <f t="shared" si="16"/>
        <v>2.5</v>
      </c>
      <c r="AY27" s="3">
        <f t="shared" si="17"/>
        <v>0.5</v>
      </c>
      <c r="AZ27" s="3">
        <f t="shared" si="18"/>
        <v>0.4</v>
      </c>
      <c r="BA27" s="3">
        <f t="shared" si="19"/>
        <v>0.75</v>
      </c>
      <c r="BB27" s="3">
        <f t="shared" si="20"/>
        <v>1.1666666666666667</v>
      </c>
      <c r="BC27" s="3">
        <f t="shared" si="21"/>
        <v>1.40625</v>
      </c>
      <c r="BD27" s="3">
        <f t="shared" si="22"/>
        <v>0.83333333333333337</v>
      </c>
    </row>
    <row r="28" spans="1:56" s="8" customFormat="1" x14ac:dyDescent="0.45">
      <c r="A28" s="8" t="s">
        <v>55</v>
      </c>
      <c r="B28" s="8" t="s">
        <v>56</v>
      </c>
      <c r="C28" s="14">
        <f t="shared" si="3"/>
        <v>9</v>
      </c>
      <c r="D28" s="15">
        <f t="shared" si="4"/>
        <v>1</v>
      </c>
      <c r="E28" s="15">
        <f t="shared" si="5"/>
        <v>0.75</v>
      </c>
      <c r="F28" s="15">
        <f t="shared" si="6"/>
        <v>1.5</v>
      </c>
      <c r="G28" s="15">
        <f t="shared" si="7"/>
        <v>1.5</v>
      </c>
      <c r="H28" s="15">
        <f t="shared" si="8"/>
        <v>2.5</v>
      </c>
      <c r="I28" s="15">
        <f t="shared" si="9"/>
        <v>1.75</v>
      </c>
      <c r="J28" s="16">
        <f t="shared" si="10"/>
        <v>8.2781249999999993</v>
      </c>
      <c r="K28" s="8">
        <v>1</v>
      </c>
      <c r="L28" s="8">
        <v>1</v>
      </c>
      <c r="M28" s="8">
        <v>0.75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0.5</v>
      </c>
      <c r="W28" s="8">
        <v>0.5</v>
      </c>
      <c r="X28" s="8">
        <v>0</v>
      </c>
      <c r="Y28" s="8">
        <v>1</v>
      </c>
      <c r="Z28" s="8">
        <v>1</v>
      </c>
      <c r="AA28" s="8">
        <v>0.5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0</v>
      </c>
      <c r="AM28" s="8">
        <v>0</v>
      </c>
      <c r="AN28" s="8">
        <v>1</v>
      </c>
      <c r="AO28" s="8">
        <v>0.5</v>
      </c>
      <c r="AP28" s="8">
        <v>0.5</v>
      </c>
      <c r="AR28" s="8">
        <f t="shared" si="11"/>
        <v>2.5</v>
      </c>
      <c r="AS28" s="8">
        <f t="shared" si="12"/>
        <v>3.5</v>
      </c>
      <c r="AT28" s="8">
        <f t="shared" si="13"/>
        <v>3.5</v>
      </c>
      <c r="AU28" s="8">
        <f t="shared" si="14"/>
        <v>4.5</v>
      </c>
      <c r="AV28" s="8">
        <f t="shared" si="15"/>
        <v>7.25</v>
      </c>
      <c r="AW28" s="8">
        <f t="shared" si="16"/>
        <v>5</v>
      </c>
      <c r="AY28" s="8">
        <f t="shared" si="17"/>
        <v>0.83333333333333337</v>
      </c>
      <c r="AZ28" s="8">
        <f t="shared" si="18"/>
        <v>0.7</v>
      </c>
      <c r="BA28" s="8">
        <f t="shared" si="19"/>
        <v>1.3125</v>
      </c>
      <c r="BB28" s="8">
        <f t="shared" si="20"/>
        <v>1.5</v>
      </c>
      <c r="BC28" s="8">
        <f t="shared" si="21"/>
        <v>2.265625</v>
      </c>
      <c r="BD28" s="8">
        <f t="shared" si="22"/>
        <v>1.6666666666666667</v>
      </c>
    </row>
    <row r="29" spans="1:56" x14ac:dyDescent="0.45">
      <c r="A29" s="11" t="s">
        <v>57</v>
      </c>
      <c r="B29" s="11" t="s">
        <v>58</v>
      </c>
      <c r="C29" s="12">
        <f t="shared" si="3"/>
        <v>4.75</v>
      </c>
      <c r="D29" s="13">
        <f t="shared" si="4"/>
        <v>0.5</v>
      </c>
      <c r="E29" s="13">
        <f t="shared" si="5"/>
        <v>0.5</v>
      </c>
      <c r="F29" s="13">
        <f t="shared" si="6"/>
        <v>0.5</v>
      </c>
      <c r="G29" s="13">
        <f t="shared" si="7"/>
        <v>0.75</v>
      </c>
      <c r="H29" s="13">
        <f t="shared" si="8"/>
        <v>1.25</v>
      </c>
      <c r="I29" s="13">
        <f t="shared" si="9"/>
        <v>1.25</v>
      </c>
      <c r="J29" s="5">
        <f t="shared" si="10"/>
        <v>4.2750000000000004</v>
      </c>
      <c r="K29" s="3">
        <v>0</v>
      </c>
      <c r="L29" s="3">
        <v>0</v>
      </c>
      <c r="M29" s="8">
        <v>0</v>
      </c>
      <c r="N29" s="3">
        <v>0</v>
      </c>
      <c r="O29" s="3">
        <v>0</v>
      </c>
      <c r="P29" s="3">
        <v>1</v>
      </c>
      <c r="Q29" s="8">
        <v>1</v>
      </c>
      <c r="R29" s="8">
        <v>1</v>
      </c>
      <c r="S29" s="3">
        <v>1</v>
      </c>
      <c r="T29" s="3">
        <v>0.75</v>
      </c>
      <c r="U29" s="8">
        <v>1</v>
      </c>
      <c r="V29" s="3">
        <v>0</v>
      </c>
      <c r="W29" s="3">
        <v>0</v>
      </c>
      <c r="X29" s="3">
        <v>0</v>
      </c>
      <c r="Y29" s="8">
        <v>1</v>
      </c>
      <c r="Z29" s="3">
        <v>0</v>
      </c>
      <c r="AA29" s="3">
        <v>0</v>
      </c>
      <c r="AB29" s="4">
        <v>1</v>
      </c>
      <c r="AC29" s="4">
        <v>1</v>
      </c>
      <c r="AD29" s="4">
        <v>1</v>
      </c>
      <c r="AE29" s="3">
        <v>0</v>
      </c>
      <c r="AF29" s="4">
        <v>1</v>
      </c>
      <c r="AG29" s="4">
        <v>1</v>
      </c>
      <c r="AH29" s="3">
        <v>0</v>
      </c>
      <c r="AI29" s="3">
        <v>1</v>
      </c>
      <c r="AJ29" s="3">
        <v>0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  <c r="AP29" s="3">
        <v>0</v>
      </c>
      <c r="AR29" s="3">
        <f t="shared" si="11"/>
        <v>1</v>
      </c>
      <c r="AS29" s="3">
        <f t="shared" si="12"/>
        <v>2</v>
      </c>
      <c r="AT29" s="3">
        <f t="shared" si="13"/>
        <v>1</v>
      </c>
      <c r="AU29" s="3">
        <f t="shared" si="14"/>
        <v>2</v>
      </c>
      <c r="AV29" s="3">
        <f t="shared" si="15"/>
        <v>4</v>
      </c>
      <c r="AW29" s="3">
        <f t="shared" si="16"/>
        <v>3.75</v>
      </c>
      <c r="AY29" s="3">
        <f t="shared" si="17"/>
        <v>0.33333333333333331</v>
      </c>
      <c r="AZ29" s="3">
        <f t="shared" si="18"/>
        <v>0.4</v>
      </c>
      <c r="BA29" s="3">
        <f t="shared" si="19"/>
        <v>0.375</v>
      </c>
      <c r="BB29" s="3">
        <f t="shared" si="20"/>
        <v>0.66666666666666663</v>
      </c>
      <c r="BC29" s="3">
        <f t="shared" si="21"/>
        <v>1.25</v>
      </c>
      <c r="BD29" s="3">
        <f t="shared" si="22"/>
        <v>1.25</v>
      </c>
    </row>
    <row r="31" spans="1:56" x14ac:dyDescent="0.45">
      <c r="C31" s="9">
        <f>AVERAGE(C4:C29)</f>
        <v>6.3557692307692308</v>
      </c>
      <c r="J31" s="3">
        <f>AVERAGE(J4:J29)</f>
        <v>5.8582932692307699</v>
      </c>
    </row>
  </sheetData>
  <conditionalFormatting sqref="J4:J29">
    <cfRule type="top10" dxfId="1" priority="1" bottom="1" rank="5"/>
    <cfRule type="top10" dxfId="0" priority="2" rank="5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7EF5-402F-4DCC-BAF4-08660071BB65}">
  <dimension ref="A1:I35"/>
  <sheetViews>
    <sheetView workbookViewId="0">
      <selection activeCell="L7" sqref="L7"/>
    </sheetView>
  </sheetViews>
  <sheetFormatPr baseColWidth="10" defaultRowHeight="14.25" x14ac:dyDescent="0.45"/>
  <cols>
    <col min="3" max="9" width="8.86328125" style="10" customWidth="1"/>
  </cols>
  <sheetData>
    <row r="1" spans="1:9" ht="33" customHeight="1" x14ac:dyDescent="0.45">
      <c r="A1" s="25" t="s">
        <v>86</v>
      </c>
      <c r="B1" s="25"/>
      <c r="C1" s="25"/>
      <c r="D1" s="25"/>
      <c r="E1" s="25"/>
      <c r="F1" s="25"/>
      <c r="G1" s="25"/>
      <c r="H1" s="25"/>
      <c r="I1" s="25"/>
    </row>
    <row r="2" spans="1:9" x14ac:dyDescent="0.45">
      <c r="A2" s="1" t="s">
        <v>8</v>
      </c>
      <c r="B2" s="1" t="s">
        <v>9</v>
      </c>
      <c r="C2" s="19" t="s">
        <v>74</v>
      </c>
      <c r="D2" s="19" t="s">
        <v>75</v>
      </c>
      <c r="E2" s="19" t="s">
        <v>76</v>
      </c>
      <c r="F2" s="19" t="s">
        <v>77</v>
      </c>
      <c r="G2" s="19" t="s">
        <v>78</v>
      </c>
      <c r="H2" s="19" t="s">
        <v>79</v>
      </c>
      <c r="I2" s="19" t="s">
        <v>80</v>
      </c>
    </row>
    <row r="3" spans="1:9" x14ac:dyDescent="0.45">
      <c r="A3" s="1"/>
      <c r="B3" s="1"/>
      <c r="C3" s="19"/>
      <c r="D3" s="19" t="s">
        <v>60</v>
      </c>
      <c r="E3" s="19" t="s">
        <v>63</v>
      </c>
      <c r="F3" s="19" t="s">
        <v>59</v>
      </c>
      <c r="G3" s="19" t="s">
        <v>62</v>
      </c>
      <c r="H3" s="19" t="s">
        <v>61</v>
      </c>
      <c r="I3" s="19" t="s">
        <v>64</v>
      </c>
    </row>
    <row r="4" spans="1:9" x14ac:dyDescent="0.45">
      <c r="A4" s="23" t="s">
        <v>84</v>
      </c>
      <c r="B4" s="24"/>
      <c r="C4" s="20">
        <f>SUM(D4:I4)</f>
        <v>10</v>
      </c>
      <c r="D4" s="20">
        <v>1</v>
      </c>
      <c r="E4" s="20">
        <v>1</v>
      </c>
      <c r="F4" s="20">
        <v>1.5</v>
      </c>
      <c r="G4" s="20">
        <v>2</v>
      </c>
      <c r="H4" s="20">
        <v>2.5</v>
      </c>
      <c r="I4" s="20">
        <v>2</v>
      </c>
    </row>
    <row r="5" spans="1:9" s="17" customFormat="1" x14ac:dyDescent="0.45">
      <c r="A5" s="18" t="s">
        <v>10</v>
      </c>
      <c r="B5" s="18" t="s">
        <v>11</v>
      </c>
      <c r="C5" s="21">
        <v>8</v>
      </c>
      <c r="D5" s="21">
        <v>0.75</v>
      </c>
      <c r="E5" s="21">
        <v>0.75</v>
      </c>
      <c r="F5" s="21">
        <v>1.25</v>
      </c>
      <c r="G5" s="21">
        <v>1.5</v>
      </c>
      <c r="H5" s="21">
        <v>2</v>
      </c>
      <c r="I5" s="21">
        <v>1.75</v>
      </c>
    </row>
    <row r="6" spans="1:9" x14ac:dyDescent="0.45">
      <c r="A6" s="1" t="s">
        <v>12</v>
      </c>
      <c r="B6" s="1" t="s">
        <v>13</v>
      </c>
      <c r="C6" s="19">
        <v>5.5</v>
      </c>
      <c r="D6" s="19">
        <v>0.75</v>
      </c>
      <c r="E6" s="19">
        <v>0.25</v>
      </c>
      <c r="F6" s="19">
        <v>1.25</v>
      </c>
      <c r="G6" s="19">
        <v>0.5</v>
      </c>
      <c r="H6" s="19">
        <v>1.75</v>
      </c>
      <c r="I6" s="19">
        <v>1</v>
      </c>
    </row>
    <row r="7" spans="1:9" s="17" customFormat="1" x14ac:dyDescent="0.45">
      <c r="A7" s="18" t="s">
        <v>14</v>
      </c>
      <c r="B7" s="18" t="s">
        <v>15</v>
      </c>
      <c r="C7" s="21">
        <v>8</v>
      </c>
      <c r="D7" s="21">
        <v>0.75</v>
      </c>
      <c r="E7" s="21">
        <v>1</v>
      </c>
      <c r="F7" s="21">
        <v>1.25</v>
      </c>
      <c r="G7" s="21">
        <v>2</v>
      </c>
      <c r="H7" s="21">
        <v>1.5</v>
      </c>
      <c r="I7" s="21">
        <v>1.5</v>
      </c>
    </row>
    <row r="8" spans="1:9" x14ac:dyDescent="0.45">
      <c r="A8" s="1" t="s">
        <v>16</v>
      </c>
      <c r="B8" s="1" t="s">
        <v>66</v>
      </c>
      <c r="C8" s="19">
        <v>5.5</v>
      </c>
      <c r="D8" s="19">
        <v>0.75</v>
      </c>
      <c r="E8" s="19">
        <v>0.5</v>
      </c>
      <c r="F8" s="19">
        <v>0.75</v>
      </c>
      <c r="G8" s="19">
        <v>1.25</v>
      </c>
      <c r="H8" s="19">
        <v>1.25</v>
      </c>
      <c r="I8" s="19">
        <v>1</v>
      </c>
    </row>
    <row r="9" spans="1:9" s="17" customFormat="1" x14ac:dyDescent="0.45">
      <c r="A9" s="18" t="s">
        <v>17</v>
      </c>
      <c r="B9" s="18" t="s">
        <v>18</v>
      </c>
      <c r="C9" s="21">
        <v>9.5</v>
      </c>
      <c r="D9" s="21">
        <v>1</v>
      </c>
      <c r="E9" s="21">
        <v>1</v>
      </c>
      <c r="F9" s="21">
        <v>1.5</v>
      </c>
      <c r="G9" s="21">
        <v>2</v>
      </c>
      <c r="H9" s="21">
        <v>2.25</v>
      </c>
      <c r="I9" s="21">
        <v>1.75</v>
      </c>
    </row>
    <row r="10" spans="1:9" x14ac:dyDescent="0.45">
      <c r="A10" s="1" t="s">
        <v>19</v>
      </c>
      <c r="B10" s="1" t="s">
        <v>20</v>
      </c>
      <c r="C10" s="19">
        <v>6.25</v>
      </c>
      <c r="D10" s="19">
        <v>0.5</v>
      </c>
      <c r="E10" s="19">
        <v>0.75</v>
      </c>
      <c r="F10" s="19">
        <v>0.75</v>
      </c>
      <c r="G10" s="19">
        <v>1</v>
      </c>
      <c r="H10" s="19">
        <v>1.75</v>
      </c>
      <c r="I10" s="19">
        <v>1.5</v>
      </c>
    </row>
    <row r="11" spans="1:9" s="17" customFormat="1" x14ac:dyDescent="0.45">
      <c r="A11" s="18" t="s">
        <v>21</v>
      </c>
      <c r="B11" s="18" t="s">
        <v>22</v>
      </c>
      <c r="C11" s="21">
        <v>7</v>
      </c>
      <c r="D11" s="21">
        <v>0.75</v>
      </c>
      <c r="E11" s="21">
        <v>0.75</v>
      </c>
      <c r="F11" s="21">
        <v>1.25</v>
      </c>
      <c r="G11" s="21">
        <v>1</v>
      </c>
      <c r="H11" s="21">
        <v>2.25</v>
      </c>
      <c r="I11" s="21">
        <v>1</v>
      </c>
    </row>
    <row r="12" spans="1:9" x14ac:dyDescent="0.45">
      <c r="A12" s="1" t="s">
        <v>23</v>
      </c>
      <c r="B12" s="1" t="s">
        <v>24</v>
      </c>
      <c r="C12" s="19">
        <v>7.25</v>
      </c>
      <c r="D12" s="19">
        <v>0.75</v>
      </c>
      <c r="E12" s="19">
        <v>1</v>
      </c>
      <c r="F12" s="19">
        <v>1.25</v>
      </c>
      <c r="G12" s="19">
        <v>1.5</v>
      </c>
      <c r="H12" s="19">
        <v>1.5</v>
      </c>
      <c r="I12" s="19">
        <v>1.25</v>
      </c>
    </row>
    <row r="13" spans="1:9" s="17" customFormat="1" x14ac:dyDescent="0.45">
      <c r="A13" s="18" t="s">
        <v>25</v>
      </c>
      <c r="B13" s="18" t="s">
        <v>26</v>
      </c>
      <c r="C13" s="21">
        <v>5.5</v>
      </c>
      <c r="D13" s="21">
        <v>0.75</v>
      </c>
      <c r="E13" s="21">
        <v>0.75</v>
      </c>
      <c r="F13" s="21">
        <v>0.75</v>
      </c>
      <c r="G13" s="21">
        <v>1</v>
      </c>
      <c r="H13" s="21">
        <v>1.25</v>
      </c>
      <c r="I13" s="21">
        <v>1</v>
      </c>
    </row>
    <row r="14" spans="1:9" x14ac:dyDescent="0.45">
      <c r="A14" s="1" t="s">
        <v>27</v>
      </c>
      <c r="B14" s="1" t="s">
        <v>28</v>
      </c>
      <c r="C14" s="19">
        <v>7</v>
      </c>
      <c r="D14" s="19">
        <v>0.75</v>
      </c>
      <c r="E14" s="19">
        <v>0.75</v>
      </c>
      <c r="F14" s="19">
        <v>1.25</v>
      </c>
      <c r="G14" s="19">
        <v>1.5</v>
      </c>
      <c r="H14" s="19">
        <v>1.5</v>
      </c>
      <c r="I14" s="19">
        <v>1.25</v>
      </c>
    </row>
    <row r="15" spans="1:9" s="17" customFormat="1" x14ac:dyDescent="0.45">
      <c r="A15" s="18" t="s">
        <v>29</v>
      </c>
      <c r="B15" s="18" t="s">
        <v>30</v>
      </c>
      <c r="C15" s="21">
        <v>6.75</v>
      </c>
      <c r="D15" s="21">
        <v>0.75</v>
      </c>
      <c r="E15" s="21">
        <v>0.5</v>
      </c>
      <c r="F15" s="21">
        <v>1.25</v>
      </c>
      <c r="G15" s="21">
        <v>1</v>
      </c>
      <c r="H15" s="21">
        <v>2.25</v>
      </c>
      <c r="I15" s="21">
        <v>1</v>
      </c>
    </row>
    <row r="16" spans="1:9" x14ac:dyDescent="0.45">
      <c r="A16" s="1" t="s">
        <v>31</v>
      </c>
      <c r="B16" s="1" t="s">
        <v>32</v>
      </c>
      <c r="C16" s="19">
        <v>8.75</v>
      </c>
      <c r="D16" s="19">
        <v>1</v>
      </c>
      <c r="E16" s="19">
        <v>1</v>
      </c>
      <c r="F16" s="19">
        <v>1.5</v>
      </c>
      <c r="G16" s="19">
        <v>1.5</v>
      </c>
      <c r="H16" s="19">
        <v>2</v>
      </c>
      <c r="I16" s="19">
        <v>1.75</v>
      </c>
    </row>
    <row r="17" spans="1:9" s="17" customFormat="1" x14ac:dyDescent="0.45">
      <c r="A17" s="18" t="s">
        <v>33</v>
      </c>
      <c r="B17" s="18" t="s">
        <v>34</v>
      </c>
      <c r="C17" s="21">
        <v>5</v>
      </c>
      <c r="D17" s="21">
        <v>0.5</v>
      </c>
      <c r="E17" s="21">
        <v>0.25</v>
      </c>
      <c r="F17" s="21">
        <v>0.75</v>
      </c>
      <c r="G17" s="21">
        <v>1</v>
      </c>
      <c r="H17" s="21">
        <v>1.5</v>
      </c>
      <c r="I17" s="21">
        <v>1</v>
      </c>
    </row>
    <row r="18" spans="1:9" x14ac:dyDescent="0.45">
      <c r="A18" s="1" t="s">
        <v>35</v>
      </c>
      <c r="B18" s="1" t="s">
        <v>36</v>
      </c>
      <c r="C18" s="19">
        <v>10</v>
      </c>
      <c r="D18" s="19">
        <v>1</v>
      </c>
      <c r="E18" s="19">
        <v>1</v>
      </c>
      <c r="F18" s="19">
        <v>1.5</v>
      </c>
      <c r="G18" s="19">
        <v>2</v>
      </c>
      <c r="H18" s="19">
        <v>2.5</v>
      </c>
      <c r="I18" s="19">
        <v>2</v>
      </c>
    </row>
    <row r="19" spans="1:9" s="17" customFormat="1" x14ac:dyDescent="0.45">
      <c r="A19" s="18" t="s">
        <v>37</v>
      </c>
      <c r="B19" s="18" t="s">
        <v>15</v>
      </c>
      <c r="C19" s="21">
        <v>4</v>
      </c>
      <c r="D19" s="21">
        <v>0.5</v>
      </c>
      <c r="E19" s="21">
        <v>0.25</v>
      </c>
      <c r="F19" s="21">
        <v>0.75</v>
      </c>
      <c r="G19" s="21">
        <v>0.5</v>
      </c>
      <c r="H19" s="21">
        <v>1.25</v>
      </c>
      <c r="I19" s="21">
        <v>0.75</v>
      </c>
    </row>
    <row r="20" spans="1:9" x14ac:dyDescent="0.45">
      <c r="A20" s="1" t="s">
        <v>38</v>
      </c>
      <c r="B20" s="1" t="s">
        <v>39</v>
      </c>
      <c r="C20" s="19">
        <v>2</v>
      </c>
      <c r="D20" s="19">
        <v>0.5</v>
      </c>
      <c r="E20" s="19">
        <v>0.25</v>
      </c>
      <c r="F20" s="19">
        <v>0.5</v>
      </c>
      <c r="G20" s="19">
        <v>0</v>
      </c>
      <c r="H20" s="19">
        <v>0.75</v>
      </c>
      <c r="I20" s="19">
        <v>0</v>
      </c>
    </row>
    <row r="21" spans="1:9" s="17" customFormat="1" x14ac:dyDescent="0.45">
      <c r="A21" s="18" t="s">
        <v>40</v>
      </c>
      <c r="B21" s="18" t="s">
        <v>32</v>
      </c>
      <c r="C21" s="21">
        <v>6.25</v>
      </c>
      <c r="D21" s="21">
        <v>0.75</v>
      </c>
      <c r="E21" s="21">
        <v>0.75</v>
      </c>
      <c r="F21" s="21">
        <v>1.25</v>
      </c>
      <c r="G21" s="21">
        <v>1.25</v>
      </c>
      <c r="H21" s="21">
        <v>1.25</v>
      </c>
      <c r="I21" s="21">
        <v>1</v>
      </c>
    </row>
    <row r="22" spans="1:9" x14ac:dyDescent="0.45">
      <c r="A22" s="1" t="s">
        <v>41</v>
      </c>
      <c r="B22" s="1" t="s">
        <v>42</v>
      </c>
      <c r="C22" s="19">
        <v>3</v>
      </c>
      <c r="D22" s="19">
        <v>0.5</v>
      </c>
      <c r="E22" s="19">
        <v>0.5</v>
      </c>
      <c r="F22" s="19">
        <v>0.5</v>
      </c>
      <c r="G22" s="19">
        <v>0.5</v>
      </c>
      <c r="H22" s="19">
        <v>1</v>
      </c>
      <c r="I22" s="19">
        <v>0</v>
      </c>
    </row>
    <row r="23" spans="1:9" s="17" customFormat="1" x14ac:dyDescent="0.45">
      <c r="A23" s="18" t="s">
        <v>43</v>
      </c>
      <c r="B23" s="18" t="s">
        <v>44</v>
      </c>
      <c r="C23" s="21">
        <v>7.5</v>
      </c>
      <c r="D23" s="21">
        <v>0.5</v>
      </c>
      <c r="E23" s="21">
        <v>0.75</v>
      </c>
      <c r="F23" s="21">
        <v>0.75</v>
      </c>
      <c r="G23" s="21">
        <v>1.75</v>
      </c>
      <c r="H23" s="21">
        <v>1.75</v>
      </c>
      <c r="I23" s="21">
        <v>2</v>
      </c>
    </row>
    <row r="24" spans="1:9" x14ac:dyDescent="0.45">
      <c r="A24" s="1" t="s">
        <v>45</v>
      </c>
      <c r="B24" s="1" t="s">
        <v>46</v>
      </c>
      <c r="C24" s="19">
        <v>6.25</v>
      </c>
      <c r="D24" s="19">
        <v>1</v>
      </c>
      <c r="E24" s="19">
        <v>0.75</v>
      </c>
      <c r="F24" s="19">
        <v>0.75</v>
      </c>
      <c r="G24" s="19">
        <v>1</v>
      </c>
      <c r="H24" s="19">
        <v>1.5</v>
      </c>
      <c r="I24" s="19">
        <v>1.25</v>
      </c>
    </row>
    <row r="25" spans="1:9" s="17" customFormat="1" x14ac:dyDescent="0.45">
      <c r="A25" s="18" t="s">
        <v>47</v>
      </c>
      <c r="B25" s="18" t="s">
        <v>48</v>
      </c>
      <c r="C25" s="21">
        <v>8.25</v>
      </c>
      <c r="D25" s="21">
        <v>0.5</v>
      </c>
      <c r="E25" s="21">
        <v>1</v>
      </c>
      <c r="F25" s="21">
        <v>1</v>
      </c>
      <c r="G25" s="21">
        <v>2</v>
      </c>
      <c r="H25" s="21">
        <v>2</v>
      </c>
      <c r="I25" s="21">
        <v>1.75</v>
      </c>
    </row>
    <row r="26" spans="1:9" x14ac:dyDescent="0.45">
      <c r="A26" s="1" t="s">
        <v>49</v>
      </c>
      <c r="B26" s="1" t="s">
        <v>50</v>
      </c>
      <c r="C26" s="19">
        <v>4.75</v>
      </c>
      <c r="D26" s="19">
        <v>0.5</v>
      </c>
      <c r="E26" s="19">
        <v>0.5</v>
      </c>
      <c r="F26" s="19">
        <v>1</v>
      </c>
      <c r="G26" s="19">
        <v>0.75</v>
      </c>
      <c r="H26" s="19">
        <v>1</v>
      </c>
      <c r="I26" s="19">
        <v>1</v>
      </c>
    </row>
    <row r="27" spans="1:9" s="17" customFormat="1" x14ac:dyDescent="0.45">
      <c r="A27" s="18" t="s">
        <v>51</v>
      </c>
      <c r="B27" s="18" t="s">
        <v>52</v>
      </c>
      <c r="C27" s="21">
        <v>4</v>
      </c>
      <c r="D27" s="21">
        <v>0.5</v>
      </c>
      <c r="E27" s="21">
        <v>0.25</v>
      </c>
      <c r="F27" s="21">
        <v>1</v>
      </c>
      <c r="G27" s="21">
        <v>0.5</v>
      </c>
      <c r="H27" s="21">
        <v>1.25</v>
      </c>
      <c r="I27" s="21">
        <v>0.5</v>
      </c>
    </row>
    <row r="28" spans="1:9" x14ac:dyDescent="0.45">
      <c r="A28" s="1" t="s">
        <v>53</v>
      </c>
      <c r="B28" s="1" t="s">
        <v>54</v>
      </c>
      <c r="C28" s="19">
        <v>5.5</v>
      </c>
      <c r="D28" s="19">
        <v>0.5</v>
      </c>
      <c r="E28" s="19">
        <v>0.5</v>
      </c>
      <c r="F28" s="19">
        <v>0.75</v>
      </c>
      <c r="G28" s="19">
        <v>1.25</v>
      </c>
      <c r="H28" s="19">
        <v>1.5</v>
      </c>
      <c r="I28" s="19">
        <v>1</v>
      </c>
    </row>
    <row r="29" spans="1:9" s="17" customFormat="1" x14ac:dyDescent="0.45">
      <c r="A29" s="18" t="s">
        <v>55</v>
      </c>
      <c r="B29" s="18" t="s">
        <v>56</v>
      </c>
      <c r="C29" s="21">
        <v>9</v>
      </c>
      <c r="D29" s="21">
        <v>1</v>
      </c>
      <c r="E29" s="21">
        <v>0.75</v>
      </c>
      <c r="F29" s="21">
        <v>1.5</v>
      </c>
      <c r="G29" s="21">
        <v>1.5</v>
      </c>
      <c r="H29" s="21">
        <v>2.5</v>
      </c>
      <c r="I29" s="21">
        <v>1.75</v>
      </c>
    </row>
    <row r="30" spans="1:9" x14ac:dyDescent="0.45">
      <c r="A30" s="1" t="s">
        <v>57</v>
      </c>
      <c r="B30" s="1" t="s">
        <v>58</v>
      </c>
      <c r="C30" s="19">
        <v>4.75</v>
      </c>
      <c r="D30" s="19">
        <v>0.5</v>
      </c>
      <c r="E30" s="19">
        <v>0.5</v>
      </c>
      <c r="F30" s="19">
        <v>0.5</v>
      </c>
      <c r="G30" s="19">
        <v>0.75</v>
      </c>
      <c r="H30" s="19">
        <v>1.25</v>
      </c>
      <c r="I30" s="19">
        <v>1.25</v>
      </c>
    </row>
    <row r="32" spans="1:9" x14ac:dyDescent="0.45">
      <c r="B32" t="s">
        <v>81</v>
      </c>
      <c r="C32" s="10">
        <f>AVERAGE(C5:C30)</f>
        <v>6.3557692307692308</v>
      </c>
      <c r="D32" s="10">
        <f t="shared" ref="D32:I32" si="0">AVERAGE(D5:D30)</f>
        <v>0.69230769230769229</v>
      </c>
      <c r="E32" s="10">
        <f t="shared" si="0"/>
        <v>0.65384615384615385</v>
      </c>
      <c r="F32" s="10">
        <f t="shared" si="0"/>
        <v>1.0192307692307692</v>
      </c>
      <c r="G32" s="10">
        <f t="shared" si="0"/>
        <v>1.1730769230769231</v>
      </c>
      <c r="H32" s="10">
        <f t="shared" si="0"/>
        <v>1.625</v>
      </c>
      <c r="I32" s="10">
        <f t="shared" si="0"/>
        <v>1.1923076923076923</v>
      </c>
    </row>
    <row r="33" spans="2:9" x14ac:dyDescent="0.45">
      <c r="B33" t="s">
        <v>82</v>
      </c>
      <c r="C33" s="10">
        <f>MIN(C5:C30)</f>
        <v>2</v>
      </c>
      <c r="D33" s="10">
        <f t="shared" ref="D33:H33" si="1">MIN(D5:D30)</f>
        <v>0.5</v>
      </c>
      <c r="E33" s="10">
        <f t="shared" si="1"/>
        <v>0.25</v>
      </c>
      <c r="F33" s="10">
        <f t="shared" si="1"/>
        <v>0.5</v>
      </c>
      <c r="G33" s="10">
        <v>0</v>
      </c>
      <c r="H33" s="10">
        <f t="shared" si="1"/>
        <v>0.75</v>
      </c>
      <c r="I33" s="10">
        <v>0</v>
      </c>
    </row>
    <row r="34" spans="2:9" x14ac:dyDescent="0.45">
      <c r="B34" t="s">
        <v>83</v>
      </c>
      <c r="C34" s="10">
        <f>MAX(C5:C30)</f>
        <v>10</v>
      </c>
      <c r="D34" s="10">
        <f t="shared" ref="D34:I34" si="2">MAX(D5:D30)</f>
        <v>1</v>
      </c>
      <c r="E34" s="10">
        <f t="shared" si="2"/>
        <v>1</v>
      </c>
      <c r="F34" s="10">
        <f t="shared" si="2"/>
        <v>1.5</v>
      </c>
      <c r="G34" s="10">
        <f t="shared" si="2"/>
        <v>2</v>
      </c>
      <c r="H34" s="10">
        <f t="shared" si="2"/>
        <v>2.5</v>
      </c>
      <c r="I34" s="10">
        <f t="shared" si="2"/>
        <v>2</v>
      </c>
    </row>
    <row r="35" spans="2:9" x14ac:dyDescent="0.45">
      <c r="B35" t="s">
        <v>85</v>
      </c>
      <c r="C35" s="10">
        <f>STDEV(C5:C30)</f>
        <v>1.9927030347283012</v>
      </c>
      <c r="D35" s="10">
        <f t="shared" ref="D35:I35" si="3">STDEV(D5:D30)</f>
        <v>0.19115036368906424</v>
      </c>
      <c r="E35" s="10">
        <f t="shared" si="3"/>
        <v>0.26530099016893133</v>
      </c>
      <c r="F35" s="10">
        <f t="shared" si="3"/>
        <v>0.33108214179472845</v>
      </c>
      <c r="G35" s="10">
        <f t="shared" si="3"/>
        <v>0.54207578238301135</v>
      </c>
      <c r="H35" s="10">
        <f t="shared" si="3"/>
        <v>0.47565743976101121</v>
      </c>
      <c r="I35" s="10">
        <f t="shared" si="3"/>
        <v>0.52586924376546462</v>
      </c>
    </row>
  </sheetData>
  <mergeCells count="2">
    <mergeCell ref="A4:B4"/>
    <mergeCell ref="A1:I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 (2)</vt:lpstr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ricart</dc:creator>
  <cp:lastModifiedBy>Thomas</cp:lastModifiedBy>
  <cp:lastPrinted>2021-04-13T08:24:32Z</cp:lastPrinted>
  <dcterms:created xsi:type="dcterms:W3CDTF">2021-03-25T13:11:23Z</dcterms:created>
  <dcterms:modified xsi:type="dcterms:W3CDTF">2024-05-08T07:51:50Z</dcterms:modified>
</cp:coreProperties>
</file>