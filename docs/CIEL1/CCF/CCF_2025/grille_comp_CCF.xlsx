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CIEL1\CCF\CCF_2025\"/>
    </mc:Choice>
  </mc:AlternateContent>
  <xr:revisionPtr revIDLastSave="0" documentId="13_ncr:1_{B5118CAF-B7A3-4284-80A9-4B84F2DD94C8}" xr6:coauthVersionLast="47" xr6:coauthVersionMax="47" xr10:uidLastSave="{00000000-0000-0000-0000-000000000000}"/>
  <bookViews>
    <workbookView xWindow="-98" yWindow="-98" windowWidth="21795" windowHeight="12975" activeTab="1" xr2:uid="{5323A597-3EF7-45E9-BE64-C65DC6E6C1EB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33" i="1" l="1"/>
  <c r="B30" i="2"/>
  <c r="A30" i="2"/>
  <c r="B29" i="2"/>
  <c r="A29" i="2"/>
  <c r="B28" i="2"/>
  <c r="A28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A20" i="2"/>
  <c r="B19" i="2"/>
  <c r="A19" i="2"/>
  <c r="B18" i="2"/>
  <c r="A18" i="2"/>
  <c r="B17" i="2"/>
  <c r="A17" i="2"/>
  <c r="B16" i="2"/>
  <c r="A16" i="2"/>
  <c r="A15" i="2"/>
  <c r="B14" i="2"/>
  <c r="A14" i="2"/>
  <c r="B13" i="2"/>
  <c r="A13" i="2"/>
  <c r="B12" i="2"/>
  <c r="A12" i="2"/>
  <c r="A11" i="2"/>
  <c r="A10" i="2"/>
  <c r="A9" i="2"/>
  <c r="B8" i="2"/>
  <c r="A8" i="2"/>
  <c r="A7" i="2"/>
  <c r="B6" i="2"/>
  <c r="A6" i="2"/>
  <c r="B5" i="2"/>
  <c r="A5" i="2"/>
  <c r="A4" i="2"/>
  <c r="A3" i="2"/>
  <c r="A2" i="2"/>
  <c r="AP32" i="1"/>
  <c r="AO32" i="1"/>
  <c r="AN32" i="1"/>
  <c r="AM32" i="1"/>
  <c r="AL32" i="1"/>
  <c r="AK32" i="1"/>
  <c r="AP31" i="1"/>
  <c r="AO31" i="1"/>
  <c r="AN31" i="1"/>
  <c r="AM31" i="1"/>
  <c r="AL31" i="1"/>
  <c r="AK31" i="1"/>
  <c r="AP30" i="1"/>
  <c r="AO30" i="1"/>
  <c r="AN30" i="1"/>
  <c r="AM30" i="1"/>
  <c r="AL30" i="1"/>
  <c r="AK30" i="1"/>
  <c r="AP29" i="1"/>
  <c r="AO29" i="1"/>
  <c r="AN29" i="1"/>
  <c r="AM29" i="1"/>
  <c r="AL29" i="1"/>
  <c r="AK29" i="1"/>
  <c r="AP28" i="1"/>
  <c r="AO28" i="1"/>
  <c r="AN28" i="1"/>
  <c r="AM28" i="1"/>
  <c r="AL28" i="1"/>
  <c r="AK28" i="1"/>
  <c r="AP27" i="1"/>
  <c r="AO27" i="1"/>
  <c r="AN27" i="1"/>
  <c r="AM27" i="1"/>
  <c r="AL27" i="1"/>
  <c r="AK27" i="1"/>
  <c r="AP26" i="1"/>
  <c r="AO26" i="1"/>
  <c r="AN26" i="1"/>
  <c r="AM26" i="1"/>
  <c r="AL26" i="1"/>
  <c r="AK26" i="1"/>
  <c r="AP25" i="1"/>
  <c r="AO25" i="1"/>
  <c r="AN25" i="1"/>
  <c r="AM25" i="1"/>
  <c r="AL25" i="1"/>
  <c r="AK25" i="1"/>
  <c r="AP24" i="1"/>
  <c r="AO24" i="1"/>
  <c r="AN24" i="1"/>
  <c r="AM24" i="1"/>
  <c r="AL24" i="1"/>
  <c r="AK24" i="1"/>
  <c r="AP23" i="1"/>
  <c r="AO23" i="1"/>
  <c r="AN23" i="1"/>
  <c r="AM23" i="1"/>
  <c r="AL23" i="1"/>
  <c r="AK23" i="1"/>
  <c r="AR23" i="1" s="1"/>
  <c r="AY23" i="1" s="1"/>
  <c r="AP22" i="1"/>
  <c r="AO22" i="1"/>
  <c r="AN22" i="1"/>
  <c r="AM22" i="1"/>
  <c r="AL22" i="1"/>
  <c r="AK22" i="1"/>
  <c r="AP21" i="1"/>
  <c r="AO21" i="1"/>
  <c r="AN21" i="1"/>
  <c r="AM21" i="1"/>
  <c r="AL21" i="1"/>
  <c r="AK21" i="1"/>
  <c r="AP20" i="1"/>
  <c r="AO20" i="1"/>
  <c r="AN20" i="1"/>
  <c r="AM20" i="1"/>
  <c r="AL20" i="1"/>
  <c r="AK20" i="1"/>
  <c r="AP19" i="1"/>
  <c r="AO19" i="1"/>
  <c r="AN19" i="1"/>
  <c r="AM19" i="1"/>
  <c r="AL19" i="1"/>
  <c r="AK19" i="1"/>
  <c r="AP18" i="1"/>
  <c r="AO18" i="1"/>
  <c r="AN18" i="1"/>
  <c r="AM18" i="1"/>
  <c r="AL18" i="1"/>
  <c r="AK18" i="1"/>
  <c r="AP17" i="1"/>
  <c r="AO17" i="1"/>
  <c r="AN17" i="1"/>
  <c r="AM17" i="1"/>
  <c r="AL17" i="1"/>
  <c r="AK17" i="1"/>
  <c r="AP16" i="1"/>
  <c r="AO16" i="1"/>
  <c r="AN16" i="1"/>
  <c r="AM16" i="1"/>
  <c r="AL16" i="1"/>
  <c r="AK16" i="1"/>
  <c r="AP15" i="1"/>
  <c r="AO15" i="1"/>
  <c r="AN15" i="1"/>
  <c r="AM15" i="1"/>
  <c r="AL15" i="1"/>
  <c r="AK15" i="1"/>
  <c r="AP14" i="1"/>
  <c r="AO14" i="1"/>
  <c r="AN14" i="1"/>
  <c r="AM14" i="1"/>
  <c r="AL14" i="1"/>
  <c r="AK14" i="1"/>
  <c r="AP13" i="1"/>
  <c r="AO13" i="1"/>
  <c r="AN13" i="1"/>
  <c r="AM13" i="1"/>
  <c r="AL13" i="1"/>
  <c r="AK13" i="1"/>
  <c r="AP12" i="1"/>
  <c r="AO12" i="1"/>
  <c r="AN12" i="1"/>
  <c r="AM12" i="1"/>
  <c r="AL12" i="1"/>
  <c r="AK12" i="1"/>
  <c r="AP11" i="1"/>
  <c r="AO11" i="1"/>
  <c r="AN11" i="1"/>
  <c r="AM11" i="1"/>
  <c r="AL11" i="1"/>
  <c r="AK11" i="1"/>
  <c r="AP10" i="1"/>
  <c r="AO10" i="1"/>
  <c r="AN10" i="1"/>
  <c r="AM10" i="1"/>
  <c r="AL10" i="1"/>
  <c r="AK10" i="1"/>
  <c r="AP9" i="1"/>
  <c r="AO9" i="1"/>
  <c r="AN9" i="1"/>
  <c r="AM9" i="1"/>
  <c r="AL9" i="1"/>
  <c r="AK9" i="1"/>
  <c r="AP8" i="1"/>
  <c r="AO8" i="1"/>
  <c r="AN8" i="1"/>
  <c r="AM8" i="1"/>
  <c r="AL8" i="1"/>
  <c r="AK8" i="1"/>
  <c r="AP7" i="1"/>
  <c r="AO7" i="1"/>
  <c r="AN7" i="1"/>
  <c r="AM7" i="1"/>
  <c r="AL7" i="1"/>
  <c r="AK7" i="1"/>
  <c r="AP6" i="1"/>
  <c r="AO6" i="1"/>
  <c r="AN6" i="1"/>
  <c r="AM6" i="1"/>
  <c r="AL6" i="1"/>
  <c r="AK6" i="1"/>
  <c r="AP5" i="1"/>
  <c r="AO5" i="1"/>
  <c r="AN5" i="1"/>
  <c r="AM5" i="1"/>
  <c r="AL5" i="1"/>
  <c r="AK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6" i="1" s="1"/>
  <c r="A27" i="1" s="1"/>
  <c r="A28" i="1" s="1"/>
  <c r="A29" i="1" s="1"/>
  <c r="A30" i="1" s="1"/>
  <c r="A31" i="1" s="1"/>
  <c r="A32" i="1" s="1"/>
  <c r="BD2" i="1"/>
  <c r="BC2" i="1"/>
  <c r="BB2" i="1"/>
  <c r="BA2" i="1"/>
  <c r="AZ2" i="1"/>
  <c r="AY2" i="1"/>
  <c r="AP3" i="1"/>
  <c r="AW23" i="1" s="1"/>
  <c r="BD23" i="1" s="1"/>
  <c r="BM23" i="1" s="1"/>
  <c r="AO3" i="1"/>
  <c r="AN3" i="1"/>
  <c r="AM3" i="1"/>
  <c r="AL3" i="1"/>
  <c r="AK3" i="1"/>
  <c r="AR6" i="1" l="1"/>
  <c r="AY6" i="1" s="1"/>
  <c r="AV8" i="1"/>
  <c r="BC8" i="1" s="1"/>
  <c r="BL8" i="1" s="1"/>
  <c r="AT11" i="1"/>
  <c r="BA11" i="1" s="1"/>
  <c r="BJ11" i="1" s="1"/>
  <c r="AR14" i="1"/>
  <c r="AY14" i="1" s="1"/>
  <c r="BH14" i="1" s="1"/>
  <c r="AV16" i="1"/>
  <c r="BC16" i="1" s="1"/>
  <c r="BL16" i="1" s="1"/>
  <c r="AT19" i="1"/>
  <c r="BA19" i="1" s="1"/>
  <c r="BJ19" i="1" s="1"/>
  <c r="AR22" i="1"/>
  <c r="AY22" i="1" s="1"/>
  <c r="AV24" i="1"/>
  <c r="BC24" i="1" s="1"/>
  <c r="BL24" i="1" s="1"/>
  <c r="AT27" i="1"/>
  <c r="BA27" i="1" s="1"/>
  <c r="BJ27" i="1" s="1"/>
  <c r="AR30" i="1"/>
  <c r="AY30" i="1" s="1"/>
  <c r="BH30" i="1" s="1"/>
  <c r="AV32" i="1"/>
  <c r="BC32" i="1" s="1"/>
  <c r="BL32" i="1" s="1"/>
  <c r="AW8" i="1"/>
  <c r="BD8" i="1" s="1"/>
  <c r="BM8" i="1" s="1"/>
  <c r="AU11" i="1"/>
  <c r="BB11" i="1" s="1"/>
  <c r="BK11" i="1" s="1"/>
  <c r="AS14" i="1"/>
  <c r="AZ14" i="1" s="1"/>
  <c r="BI14" i="1" s="1"/>
  <c r="BO14" i="1" s="1"/>
  <c r="AU19" i="1"/>
  <c r="BB19" i="1" s="1"/>
  <c r="BK19" i="1" s="1"/>
  <c r="BO19" i="1" s="1"/>
  <c r="AS22" i="1"/>
  <c r="AZ22" i="1" s="1"/>
  <c r="BI22" i="1" s="1"/>
  <c r="AU27" i="1"/>
  <c r="BB27" i="1" s="1"/>
  <c r="BK27" i="1" s="1"/>
  <c r="AS30" i="1"/>
  <c r="AZ30" i="1" s="1"/>
  <c r="BI30" i="1" s="1"/>
  <c r="AU6" i="1"/>
  <c r="BB6" i="1" s="1"/>
  <c r="BK6" i="1" s="1"/>
  <c r="AS9" i="1"/>
  <c r="AZ9" i="1" s="1"/>
  <c r="BI9" i="1" s="1"/>
  <c r="AW11" i="1"/>
  <c r="BD11" i="1" s="1"/>
  <c r="BM11" i="1" s="1"/>
  <c r="AU14" i="1"/>
  <c r="BB14" i="1" s="1"/>
  <c r="BK14" i="1" s="1"/>
  <c r="AS17" i="1"/>
  <c r="AZ17" i="1" s="1"/>
  <c r="BI17" i="1" s="1"/>
  <c r="AW19" i="1"/>
  <c r="BD19" i="1" s="1"/>
  <c r="BM19" i="1" s="1"/>
  <c r="AU22" i="1"/>
  <c r="BB22" i="1" s="1"/>
  <c r="BK22" i="1" s="1"/>
  <c r="AS25" i="1"/>
  <c r="AZ25" i="1" s="1"/>
  <c r="BI25" i="1" s="1"/>
  <c r="AW27" i="1"/>
  <c r="BD27" i="1" s="1"/>
  <c r="BM27" i="1" s="1"/>
  <c r="AU30" i="1"/>
  <c r="BB30" i="1" s="1"/>
  <c r="BK30" i="1" s="1"/>
  <c r="BO30" i="1" s="1"/>
  <c r="AV6" i="1"/>
  <c r="BC6" i="1" s="1"/>
  <c r="BL6" i="1" s="1"/>
  <c r="AT9" i="1"/>
  <c r="BA9" i="1" s="1"/>
  <c r="BJ9" i="1" s="1"/>
  <c r="AR12" i="1"/>
  <c r="AY12" i="1" s="1"/>
  <c r="BH12" i="1" s="1"/>
  <c r="BO12" i="1" s="1"/>
  <c r="AV14" i="1"/>
  <c r="BC14" i="1" s="1"/>
  <c r="BL14" i="1" s="1"/>
  <c r="AT17" i="1"/>
  <c r="BA17" i="1" s="1"/>
  <c r="BJ17" i="1" s="1"/>
  <c r="AR20" i="1"/>
  <c r="AY20" i="1" s="1"/>
  <c r="AV22" i="1"/>
  <c r="BC22" i="1" s="1"/>
  <c r="BL22" i="1" s="1"/>
  <c r="AT25" i="1"/>
  <c r="BA25" i="1" s="1"/>
  <c r="BJ25" i="1" s="1"/>
  <c r="AR28" i="1"/>
  <c r="AY28" i="1" s="1"/>
  <c r="BH28" i="1" s="1"/>
  <c r="AV30" i="1"/>
  <c r="BC30" i="1" s="1"/>
  <c r="BL30" i="1" s="1"/>
  <c r="AW30" i="1"/>
  <c r="BD30" i="1" s="1"/>
  <c r="BM30" i="1" s="1"/>
  <c r="AS6" i="1"/>
  <c r="AZ6" i="1" s="1"/>
  <c r="BI6" i="1" s="1"/>
  <c r="AW16" i="1"/>
  <c r="BD16" i="1" s="1"/>
  <c r="BM16" i="1" s="1"/>
  <c r="AW24" i="1"/>
  <c r="BD24" i="1" s="1"/>
  <c r="BM24" i="1" s="1"/>
  <c r="AW32" i="1"/>
  <c r="BD32" i="1" s="1"/>
  <c r="BM32" i="1" s="1"/>
  <c r="AW6" i="1"/>
  <c r="BD6" i="1" s="1"/>
  <c r="BM6" i="1" s="1"/>
  <c r="AU9" i="1"/>
  <c r="BB9" i="1" s="1"/>
  <c r="BK9" i="1" s="1"/>
  <c r="AS12" i="1"/>
  <c r="AZ12" i="1" s="1"/>
  <c r="BI12" i="1" s="1"/>
  <c r="AW14" i="1"/>
  <c r="BD14" i="1" s="1"/>
  <c r="BM14" i="1" s="1"/>
  <c r="AU17" i="1"/>
  <c r="BB17" i="1" s="1"/>
  <c r="BK17" i="1" s="1"/>
  <c r="AS20" i="1"/>
  <c r="AZ20" i="1" s="1"/>
  <c r="BI20" i="1" s="1"/>
  <c r="AW22" i="1"/>
  <c r="BD22" i="1" s="1"/>
  <c r="BM22" i="1" s="1"/>
  <c r="AU25" i="1"/>
  <c r="BB25" i="1" s="1"/>
  <c r="BK25" i="1" s="1"/>
  <c r="AS28" i="1"/>
  <c r="AZ28" i="1" s="1"/>
  <c r="BI28" i="1" s="1"/>
  <c r="AR7" i="1"/>
  <c r="AY7" i="1" s="1"/>
  <c r="BF7" i="1" s="1"/>
  <c r="AV9" i="1"/>
  <c r="BC9" i="1" s="1"/>
  <c r="BL9" i="1" s="1"/>
  <c r="AT12" i="1"/>
  <c r="BA12" i="1" s="1"/>
  <c r="BJ12" i="1" s="1"/>
  <c r="AR15" i="1"/>
  <c r="AY15" i="1" s="1"/>
  <c r="AV17" i="1"/>
  <c r="BC17" i="1" s="1"/>
  <c r="BL17" i="1" s="1"/>
  <c r="AT20" i="1"/>
  <c r="BA20" i="1" s="1"/>
  <c r="BJ20" i="1" s="1"/>
  <c r="AV25" i="1"/>
  <c r="BC25" i="1" s="1"/>
  <c r="BL25" i="1" s="1"/>
  <c r="AT28" i="1"/>
  <c r="BA28" i="1" s="1"/>
  <c r="BJ28" i="1" s="1"/>
  <c r="BO28" i="1" s="1"/>
  <c r="AR31" i="1"/>
  <c r="AY31" i="1" s="1"/>
  <c r="BF31" i="1" s="1"/>
  <c r="AS7" i="1"/>
  <c r="AZ7" i="1" s="1"/>
  <c r="BI7" i="1" s="1"/>
  <c r="AU12" i="1"/>
  <c r="BB12" i="1" s="1"/>
  <c r="BK12" i="1" s="1"/>
  <c r="AW17" i="1"/>
  <c r="BD17" i="1" s="1"/>
  <c r="BM17" i="1" s="1"/>
  <c r="AW25" i="1"/>
  <c r="BD25" i="1" s="1"/>
  <c r="BM25" i="1" s="1"/>
  <c r="AU28" i="1"/>
  <c r="BB28" i="1" s="1"/>
  <c r="BK28" i="1" s="1"/>
  <c r="AT7" i="1"/>
  <c r="BA7" i="1" s="1"/>
  <c r="BJ7" i="1" s="1"/>
  <c r="AR10" i="1"/>
  <c r="AY10" i="1" s="1"/>
  <c r="BH10" i="1" s="1"/>
  <c r="AV12" i="1"/>
  <c r="BC12" i="1" s="1"/>
  <c r="BL12" i="1" s="1"/>
  <c r="AT15" i="1"/>
  <c r="BA15" i="1" s="1"/>
  <c r="BJ15" i="1" s="1"/>
  <c r="AR18" i="1"/>
  <c r="AY18" i="1" s="1"/>
  <c r="AV20" i="1"/>
  <c r="BC20" i="1" s="1"/>
  <c r="BL20" i="1" s="1"/>
  <c r="AT23" i="1"/>
  <c r="BA23" i="1" s="1"/>
  <c r="BJ23" i="1" s="1"/>
  <c r="AR26" i="1"/>
  <c r="AY26" i="1" s="1"/>
  <c r="BH26" i="1" s="1"/>
  <c r="AV28" i="1"/>
  <c r="BC28" i="1" s="1"/>
  <c r="BL28" i="1" s="1"/>
  <c r="AT31" i="1"/>
  <c r="BA31" i="1" s="1"/>
  <c r="BJ31" i="1" s="1"/>
  <c r="AU7" i="1"/>
  <c r="BB7" i="1" s="1"/>
  <c r="BK7" i="1" s="1"/>
  <c r="AS10" i="1"/>
  <c r="AZ10" i="1" s="1"/>
  <c r="BI10" i="1" s="1"/>
  <c r="AW12" i="1"/>
  <c r="BD12" i="1" s="1"/>
  <c r="BM12" i="1" s="1"/>
  <c r="AU15" i="1"/>
  <c r="BB15" i="1" s="1"/>
  <c r="BK15" i="1" s="1"/>
  <c r="AS18" i="1"/>
  <c r="AZ18" i="1" s="1"/>
  <c r="BI18" i="1" s="1"/>
  <c r="AW20" i="1"/>
  <c r="BD20" i="1" s="1"/>
  <c r="BM20" i="1" s="1"/>
  <c r="AU23" i="1"/>
  <c r="BB23" i="1" s="1"/>
  <c r="BK23" i="1" s="1"/>
  <c r="AS26" i="1"/>
  <c r="AZ26" i="1" s="1"/>
  <c r="BI26" i="1" s="1"/>
  <c r="AW28" i="1"/>
  <c r="BD28" i="1" s="1"/>
  <c r="BM28" i="1" s="1"/>
  <c r="AU31" i="1"/>
  <c r="BB31" i="1" s="1"/>
  <c r="BK31" i="1" s="1"/>
  <c r="AV7" i="1"/>
  <c r="BC7" i="1" s="1"/>
  <c r="BL7" i="1" s="1"/>
  <c r="AT10" i="1"/>
  <c r="BA10" i="1" s="1"/>
  <c r="BJ10" i="1" s="1"/>
  <c r="AR13" i="1"/>
  <c r="AY13" i="1" s="1"/>
  <c r="BH13" i="1" s="1"/>
  <c r="BO13" i="1" s="1"/>
  <c r="AV15" i="1"/>
  <c r="BC15" i="1" s="1"/>
  <c r="BL15" i="1" s="1"/>
  <c r="AT18" i="1"/>
  <c r="BA18" i="1" s="1"/>
  <c r="BJ18" i="1" s="1"/>
  <c r="AR21" i="1"/>
  <c r="AY21" i="1" s="1"/>
  <c r="BH21" i="1" s="1"/>
  <c r="BO21" i="1" s="1"/>
  <c r="AV23" i="1"/>
  <c r="BC23" i="1" s="1"/>
  <c r="BL23" i="1" s="1"/>
  <c r="AT26" i="1"/>
  <c r="BA26" i="1" s="1"/>
  <c r="BJ26" i="1" s="1"/>
  <c r="AR29" i="1"/>
  <c r="AY29" i="1" s="1"/>
  <c r="BH29" i="1" s="1"/>
  <c r="BO29" i="1" s="1"/>
  <c r="AV31" i="1"/>
  <c r="BC31" i="1" s="1"/>
  <c r="BL31" i="1" s="1"/>
  <c r="AW7" i="1"/>
  <c r="BD7" i="1" s="1"/>
  <c r="BM7" i="1" s="1"/>
  <c r="AU10" i="1"/>
  <c r="BB10" i="1" s="1"/>
  <c r="BK10" i="1" s="1"/>
  <c r="AS13" i="1"/>
  <c r="AZ13" i="1" s="1"/>
  <c r="BI13" i="1" s="1"/>
  <c r="AW15" i="1"/>
  <c r="BD15" i="1" s="1"/>
  <c r="BM15" i="1" s="1"/>
  <c r="AU18" i="1"/>
  <c r="BB18" i="1" s="1"/>
  <c r="BK18" i="1" s="1"/>
  <c r="AS21" i="1"/>
  <c r="AZ21" i="1" s="1"/>
  <c r="BI21" i="1" s="1"/>
  <c r="AU26" i="1"/>
  <c r="BB26" i="1" s="1"/>
  <c r="BK26" i="1" s="1"/>
  <c r="AS29" i="1"/>
  <c r="AZ29" i="1" s="1"/>
  <c r="BI29" i="1" s="1"/>
  <c r="AW31" i="1"/>
  <c r="BD31" i="1" s="1"/>
  <c r="BM31" i="1" s="1"/>
  <c r="AR32" i="1"/>
  <c r="AY32" i="1" s="1"/>
  <c r="BH32" i="1" s="1"/>
  <c r="BO32" i="1" s="1"/>
  <c r="AS8" i="1"/>
  <c r="AZ8" i="1" s="1"/>
  <c r="BI8" i="1" s="1"/>
  <c r="AW10" i="1"/>
  <c r="BD10" i="1" s="1"/>
  <c r="BM10" i="1" s="1"/>
  <c r="AU13" i="1"/>
  <c r="BB13" i="1" s="1"/>
  <c r="BK13" i="1" s="1"/>
  <c r="AS16" i="1"/>
  <c r="AZ16" i="1" s="1"/>
  <c r="BI16" i="1" s="1"/>
  <c r="AW18" i="1"/>
  <c r="BD18" i="1" s="1"/>
  <c r="BM18" i="1" s="1"/>
  <c r="AU21" i="1"/>
  <c r="BB21" i="1" s="1"/>
  <c r="BK21" i="1" s="1"/>
  <c r="AS24" i="1"/>
  <c r="AZ24" i="1" s="1"/>
  <c r="BI24" i="1" s="1"/>
  <c r="AW26" i="1"/>
  <c r="BD26" i="1" s="1"/>
  <c r="BM26" i="1" s="1"/>
  <c r="AU29" i="1"/>
  <c r="BB29" i="1" s="1"/>
  <c r="BK29" i="1" s="1"/>
  <c r="AS32" i="1"/>
  <c r="AZ32" i="1" s="1"/>
  <c r="BI32" i="1" s="1"/>
  <c r="AT8" i="1"/>
  <c r="BA8" i="1" s="1"/>
  <c r="BJ8" i="1" s="1"/>
  <c r="AR11" i="1"/>
  <c r="AY11" i="1" s="1"/>
  <c r="AV13" i="1"/>
  <c r="BC13" i="1" s="1"/>
  <c r="BL13" i="1" s="1"/>
  <c r="AT16" i="1"/>
  <c r="BA16" i="1" s="1"/>
  <c r="BJ16" i="1" s="1"/>
  <c r="AR19" i="1"/>
  <c r="AY19" i="1" s="1"/>
  <c r="BH19" i="1" s="1"/>
  <c r="AV21" i="1"/>
  <c r="BC21" i="1" s="1"/>
  <c r="BL21" i="1" s="1"/>
  <c r="AT24" i="1"/>
  <c r="BA24" i="1" s="1"/>
  <c r="BJ24" i="1" s="1"/>
  <c r="AR27" i="1"/>
  <c r="AY27" i="1" s="1"/>
  <c r="BF27" i="1" s="1"/>
  <c r="AV29" i="1"/>
  <c r="BC29" i="1" s="1"/>
  <c r="BL29" i="1" s="1"/>
  <c r="AT32" i="1"/>
  <c r="BA32" i="1" s="1"/>
  <c r="BJ32" i="1" s="1"/>
  <c r="AU8" i="1"/>
  <c r="BB8" i="1" s="1"/>
  <c r="BK8" i="1" s="1"/>
  <c r="AS11" i="1"/>
  <c r="AZ11" i="1" s="1"/>
  <c r="BI11" i="1" s="1"/>
  <c r="AW13" i="1"/>
  <c r="BD13" i="1" s="1"/>
  <c r="BM13" i="1" s="1"/>
  <c r="AU16" i="1"/>
  <c r="BB16" i="1" s="1"/>
  <c r="BK16" i="1" s="1"/>
  <c r="AS19" i="1"/>
  <c r="AZ19" i="1" s="1"/>
  <c r="BI19" i="1" s="1"/>
  <c r="AW21" i="1"/>
  <c r="BD21" i="1" s="1"/>
  <c r="BM21" i="1" s="1"/>
  <c r="AU24" i="1"/>
  <c r="BB24" i="1" s="1"/>
  <c r="BK24" i="1" s="1"/>
  <c r="AS27" i="1"/>
  <c r="AZ27" i="1" s="1"/>
  <c r="BI27" i="1" s="1"/>
  <c r="AW29" i="1"/>
  <c r="BD29" i="1" s="1"/>
  <c r="BM29" i="1" s="1"/>
  <c r="AU32" i="1"/>
  <c r="BB32" i="1" s="1"/>
  <c r="BK32" i="1" s="1"/>
  <c r="AT6" i="1"/>
  <c r="BA6" i="1" s="1"/>
  <c r="BJ6" i="1" s="1"/>
  <c r="AR9" i="1"/>
  <c r="AY9" i="1" s="1"/>
  <c r="AV11" i="1"/>
  <c r="BC11" i="1" s="1"/>
  <c r="BL11" i="1" s="1"/>
  <c r="AT14" i="1"/>
  <c r="BA14" i="1" s="1"/>
  <c r="BJ14" i="1" s="1"/>
  <c r="AR17" i="1"/>
  <c r="AY17" i="1" s="1"/>
  <c r="AV19" i="1"/>
  <c r="BC19" i="1" s="1"/>
  <c r="BL19" i="1" s="1"/>
  <c r="AT22" i="1"/>
  <c r="BA22" i="1" s="1"/>
  <c r="BJ22" i="1" s="1"/>
  <c r="AR25" i="1"/>
  <c r="AY25" i="1" s="1"/>
  <c r="BF25" i="1" s="1"/>
  <c r="AV27" i="1"/>
  <c r="BC27" i="1" s="1"/>
  <c r="BL27" i="1" s="1"/>
  <c r="AT30" i="1"/>
  <c r="BA30" i="1" s="1"/>
  <c r="BJ30" i="1" s="1"/>
  <c r="AW9" i="1"/>
  <c r="BD9" i="1" s="1"/>
  <c r="BM9" i="1" s="1"/>
  <c r="AS15" i="1"/>
  <c r="AZ15" i="1" s="1"/>
  <c r="BI15" i="1" s="1"/>
  <c r="AU20" i="1"/>
  <c r="BB20" i="1" s="1"/>
  <c r="BK20" i="1" s="1"/>
  <c r="AS23" i="1"/>
  <c r="AZ23" i="1" s="1"/>
  <c r="BI23" i="1" s="1"/>
  <c r="AS31" i="1"/>
  <c r="AZ31" i="1" s="1"/>
  <c r="BI31" i="1" s="1"/>
  <c r="AR8" i="1"/>
  <c r="AY8" i="1" s="1"/>
  <c r="BH8" i="1" s="1"/>
  <c r="BO8" i="1" s="1"/>
  <c r="AV10" i="1"/>
  <c r="BC10" i="1" s="1"/>
  <c r="BL10" i="1" s="1"/>
  <c r="AT13" i="1"/>
  <c r="BA13" i="1" s="1"/>
  <c r="BJ13" i="1" s="1"/>
  <c r="AR16" i="1"/>
  <c r="AY16" i="1" s="1"/>
  <c r="BH16" i="1" s="1"/>
  <c r="BO16" i="1" s="1"/>
  <c r="AV18" i="1"/>
  <c r="BC18" i="1" s="1"/>
  <c r="BL18" i="1" s="1"/>
  <c r="AT21" i="1"/>
  <c r="BA21" i="1" s="1"/>
  <c r="BJ21" i="1" s="1"/>
  <c r="AR24" i="1"/>
  <c r="AY24" i="1" s="1"/>
  <c r="BH24" i="1" s="1"/>
  <c r="BO24" i="1" s="1"/>
  <c r="AV26" i="1"/>
  <c r="BC26" i="1" s="1"/>
  <c r="BL26" i="1" s="1"/>
  <c r="BO26" i="1" s="1"/>
  <c r="AT29" i="1"/>
  <c r="BA29" i="1" s="1"/>
  <c r="BJ29" i="1" s="1"/>
  <c r="BF32" i="1"/>
  <c r="BF29" i="1"/>
  <c r="BH27" i="1"/>
  <c r="BH25" i="1"/>
  <c r="BF24" i="1"/>
  <c r="BH23" i="1"/>
  <c r="BH22" i="1"/>
  <c r="BO22" i="1" s="1"/>
  <c r="BH20" i="1"/>
  <c r="BH18" i="1"/>
  <c r="BH17" i="1"/>
  <c r="BF16" i="1"/>
  <c r="BH15" i="1"/>
  <c r="BH11" i="1"/>
  <c r="BO10" i="1"/>
  <c r="BF9" i="1"/>
  <c r="BH9" i="1"/>
  <c r="BO9" i="1" s="1"/>
  <c r="BF8" i="1"/>
  <c r="BH6" i="1"/>
  <c r="AR5" i="1"/>
  <c r="AY5" i="1" s="1"/>
  <c r="BH5" i="1" s="1"/>
  <c r="AU5" i="1"/>
  <c r="BB5" i="1" s="1"/>
  <c r="BK5" i="1" s="1"/>
  <c r="AS5" i="1"/>
  <c r="AZ5" i="1" s="1"/>
  <c r="BI5" i="1" s="1"/>
  <c r="AV5" i="1"/>
  <c r="BC5" i="1" s="1"/>
  <c r="BL5" i="1" s="1"/>
  <c r="AT5" i="1"/>
  <c r="BA5" i="1" s="1"/>
  <c r="BJ5" i="1" s="1"/>
  <c r="AW5" i="1"/>
  <c r="BD5" i="1" s="1"/>
  <c r="BM5" i="1" s="1"/>
  <c r="BF2" i="1"/>
  <c r="BO17" i="1" l="1"/>
  <c r="BF17" i="1"/>
  <c r="BF18" i="1"/>
  <c r="BF20" i="1"/>
  <c r="BF28" i="1"/>
  <c r="BF30" i="1"/>
  <c r="BO18" i="1"/>
  <c r="BF10" i="1"/>
  <c r="BF26" i="1"/>
  <c r="BF19" i="1"/>
  <c r="BO20" i="1"/>
  <c r="BF13" i="1"/>
  <c r="BF21" i="1"/>
  <c r="BF14" i="1"/>
  <c r="BH7" i="1"/>
  <c r="BO7" i="1" s="1"/>
  <c r="BO23" i="1"/>
  <c r="BO25" i="1"/>
  <c r="BO11" i="1"/>
  <c r="BO27" i="1"/>
  <c r="BF11" i="1"/>
  <c r="BF12" i="1"/>
  <c r="BO6" i="1"/>
  <c r="BF6" i="1"/>
  <c r="BF22" i="1"/>
  <c r="BO15" i="1"/>
  <c r="BF23" i="1"/>
  <c r="BH31" i="1"/>
  <c r="BO31" i="1" s="1"/>
  <c r="BF15" i="1"/>
  <c r="BO5" i="1"/>
  <c r="BF5" i="1"/>
  <c r="BO34" i="1" l="1"/>
</calcChain>
</file>

<file path=xl/sharedStrings.xml><?xml version="1.0" encoding="utf-8"?>
<sst xmlns="http://schemas.openxmlformats.org/spreadsheetml/2006/main" count="108" uniqueCount="60">
  <si>
    <t>BENGOUA Solaymane</t>
  </si>
  <si>
    <t>NOM</t>
  </si>
  <si>
    <t>GROUPE</t>
  </si>
  <si>
    <t>GROUPE_CCF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</si>
  <si>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</si>
  <si>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</si>
  <si>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</si>
  <si>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</si>
  <si>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</si>
  <si>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</si>
  <si>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</si>
  <si>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</si>
  <si>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</si>
  <si>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</si>
  <si>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</si>
  <si>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</si>
  <si>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</si>
  <si>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</si>
  <si>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</si>
  <si>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</si>
  <si>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INF</t>
  </si>
  <si>
    <t>CH</t>
  </si>
  <si>
    <t>MOD</t>
  </si>
  <si>
    <t>RAI</t>
  </si>
  <si>
    <t>CAL</t>
  </si>
  <si>
    <t>COM</t>
  </si>
  <si>
    <t>bareme</t>
  </si>
  <si>
    <t>nb_questions</t>
  </si>
  <si>
    <t>competences</t>
  </si>
  <si>
    <t>Chaque question / compétences</t>
  </si>
  <si>
    <t>est notée sur 2</t>
  </si>
  <si>
    <t>Q17</t>
  </si>
  <si>
    <t>ACCAR Roger</t>
  </si>
  <si>
    <t>ADO Oihan</t>
  </si>
  <si>
    <t>ALAUZET Mathis</t>
  </si>
  <si>
    <t>ARSLANE Djibril</t>
  </si>
  <si>
    <t>BILINGBI MAX Pierre Bradley</t>
  </si>
  <si>
    <t>BONVALET icolas</t>
  </si>
  <si>
    <t>BRENEK Ethan</t>
  </si>
  <si>
    <t>CHABAUD Nathaniel</t>
  </si>
  <si>
    <t>COMBES Sinclair</t>
  </si>
  <si>
    <t>EL BOUKHARI Khayfallah</t>
  </si>
  <si>
    <t>ELEB Mark</t>
  </si>
  <si>
    <t>FACCINI Adrien</t>
  </si>
  <si>
    <t>FOURCADE Piere</t>
  </si>
  <si>
    <t>GIROUD Quentin</t>
  </si>
  <si>
    <t>JABELKHAYR Hatim</t>
  </si>
  <si>
    <t>JOUE--CREITER Lukas</t>
  </si>
  <si>
    <t>JUDE Stephan</t>
  </si>
  <si>
    <t>KADRI Elias</t>
  </si>
  <si>
    <t>KHADIRI Abd el Ali</t>
  </si>
  <si>
    <t>MORAGLIA Lowan</t>
  </si>
  <si>
    <t>MOREAU Jean</t>
  </si>
  <si>
    <t>NGUEDAM Kiara</t>
  </si>
  <si>
    <t>RIBEIRO Diala</t>
  </si>
  <si>
    <t>RODRIGUES Leandro</t>
  </si>
  <si>
    <t>SEGUY Axel</t>
  </si>
  <si>
    <t>TRESMONTAN Jordan</t>
  </si>
  <si>
    <t>Q18</t>
  </si>
  <si>
    <t>MAZABRAUD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</si>
</sst>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0" borderId="4" xfId="0" applyBorder="1" applyAlignment="1">
      <alignment horizontal="center" vertical="center"/>
    </xf>
    <xf numFmtId="0" fontId="0" fillId="3" borderId="8" xfId="0" applyFill="1" applyBorder="1"/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3" borderId="9" xfId="0" applyFill="1" applyBorder="1"/>
    <xf numFmtId="0" fontId="0" fillId="0" borderId="8" xfId="0" applyBorder="1"/>
    <xf numFmtId="0" fontId="0" fillId="0" borderId="5" xfId="0" applyBorder="1"/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3" xfId="0" applyBorder="1"/>
    <xf numFmtId="0" fontId="0" fillId="3" borderId="4" xfId="0" applyFill="1" applyBorder="1"/>
    <xf numFmtId="0" fontId="0" fillId="3" borderId="1" xfId="0" applyFill="1" applyBorder="1"/>
    <xf numFmtId="0" fontId="0" fillId="3" borderId="6" xfId="0" applyFill="1" applyBorder="1"/>
    <xf numFmtId="0" fontId="0" fillId="4" borderId="8" xfId="0" applyFill="1" applyBorder="1"/>
    <xf numFmtId="0" fontId="0" fillId="4" borderId="0" xfId="0" applyFill="1"/>
    <xf numFmtId="0" fontId="0" fillId="4" borderId="9" xfId="0" applyFill="1" applyBorder="1"/>
    <xf numFmtId="0" fontId="0" fillId="4" borderId="3" xfId="0" applyFill="1" applyBorder="1"/>
    <xf numFmtId="0" fontId="0" fillId="5" borderId="8" xfId="0" applyFill="1" applyBorder="1"/>
    <xf numFmtId="0" fontId="0" fillId="5" borderId="0" xfId="0" applyFill="1"/>
    <xf numFmtId="0" fontId="0" fillId="5" borderId="9" xfId="0" applyFill="1" applyBorder="1"/>
    <xf numFmtId="0" fontId="0" fillId="5" borderId="3" xfId="0" applyFill="1" applyBorder="1"/>
    <xf numFmtId="0" fontId="0" fillId="6" borderId="8" xfId="0" applyFill="1" applyBorder="1"/>
    <xf numFmtId="0" fontId="0" fillId="6" borderId="5" xfId="0" applyFill="1" applyBorder="1"/>
    <xf numFmtId="0" fontId="0" fillId="6" borderId="2" xfId="0" applyFill="1" applyBorder="1"/>
    <xf numFmtId="0" fontId="0" fillId="6" borderId="7" xfId="0" applyFill="1" applyBorder="1"/>
    <xf numFmtId="0" fontId="0" fillId="6" borderId="0" xfId="0" applyFill="1"/>
    <xf numFmtId="0" fontId="0" fillId="6" borderId="3" xfId="0" applyFill="1" applyBorder="1"/>
    <xf numFmtId="0" fontId="0" fillId="6" borderId="9" xfId="0" applyFill="1" applyBorder="1"/>
    <xf numFmtId="0" fontId="0" fillId="7" borderId="8" xfId="0" applyFill="1" applyBorder="1"/>
    <xf numFmtId="0" fontId="0" fillId="7" borderId="0" xfId="0" applyFill="1"/>
    <xf numFmtId="0" fontId="0" fillId="7" borderId="9" xfId="0" applyFill="1" applyBorder="1"/>
    <xf numFmtId="0" fontId="0" fillId="7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E324-096C-456C-BFF9-9E511558E414}">
  <dimension ref="A1:BO34"/>
  <sheetViews>
    <sheetView zoomScaleNormal="100" workbookViewId="0">
      <pane xSplit="4" ySplit="4" topLeftCell="O5" activePane="bottomRight" state="frozen"/>
      <selection pane="topRight" activeCell="E1" sqref="E1"/>
      <selection pane="bottomLeft" activeCell="A5" sqref="A5"/>
      <selection pane="bottomRight" activeCell="BO34" sqref="BO34"/>
    </sheetView>
  </sheetViews>
  <sheetFormatPr baseColWidth="10" defaultColWidth="6.53125" defaultRowHeight="13.25" customHeight="1" thickBottom="1" x14ac:dyDescent="0.5"/>
  <cols>
    <col min="3" max="3" width="6.53125" style="3"/>
    <col min="4" max="4" width="15.1328125" style="3" customWidth="1"/>
    <col min="5" max="5" width="4.265625" style="8" customWidth="1"/>
    <col min="6" max="6" width="4.265625" style="36" customWidth="1"/>
    <col min="7" max="7" width="4.265625" style="26" customWidth="1"/>
    <col min="8" max="8" width="4.265625" style="30" customWidth="1"/>
    <col min="9" max="9" width="4.265625" style="41" customWidth="1"/>
    <col min="10" max="10" width="4.265625" style="26" customWidth="1"/>
    <col min="11" max="11" width="4.265625" style="19" customWidth="1"/>
    <col min="12" max="12" width="4.265625" style="30" customWidth="1"/>
    <col min="13" max="13" width="4.265625" style="26" customWidth="1"/>
    <col min="14" max="14" width="4.265625" style="41" customWidth="1"/>
    <col min="15" max="15" width="4.265625" style="19" customWidth="1"/>
    <col min="16" max="16" width="4.265625" style="8" customWidth="1"/>
    <col min="17" max="18" width="4.265625" style="36" customWidth="1"/>
    <col min="19" max="19" width="4.265625" style="41" customWidth="1"/>
    <col min="20" max="20" width="4.265625" style="19" customWidth="1"/>
    <col min="21" max="21" width="4.265625" style="41" customWidth="1"/>
    <col min="22" max="22" width="4.265625" style="19" customWidth="1"/>
    <col min="23" max="23" width="4.265625" style="26" customWidth="1"/>
    <col min="24" max="24" width="4.265625" style="19" customWidth="1"/>
    <col min="25" max="25" width="4.265625" style="30" customWidth="1"/>
    <col min="26" max="26" width="4.265625" style="8" customWidth="1"/>
    <col min="27" max="27" width="4.265625" style="36" customWidth="1"/>
    <col min="28" max="28" width="4.265625" style="41" customWidth="1"/>
    <col min="29" max="29" width="4.265625" style="19" customWidth="1"/>
    <col min="30" max="30" width="4.265625" style="41" customWidth="1"/>
    <col min="31" max="31" width="4.265625" style="8" customWidth="1"/>
    <col min="32" max="32" width="4.265625" style="26" customWidth="1"/>
    <col min="33" max="33" width="4.265625" style="36" customWidth="1"/>
    <col min="34" max="34" width="4.265625" style="30" customWidth="1"/>
    <col min="35" max="35" width="5.265625" style="19" customWidth="1"/>
    <col min="36" max="59" width="5.265625" hidden="1" customWidth="1"/>
    <col min="60" max="65" width="4.796875" customWidth="1"/>
    <col min="66" max="66" width="2.06640625" customWidth="1"/>
    <col min="67" max="67" width="5" customWidth="1"/>
  </cols>
  <sheetData>
    <row r="1" spans="1:67" ht="13.25" customHeight="1" thickBot="1" x14ac:dyDescent="0.5">
      <c r="B1" t="s">
        <v>29</v>
      </c>
      <c r="D1" s="9"/>
      <c r="E1" s="10" t="s">
        <v>4</v>
      </c>
      <c r="F1" s="31"/>
      <c r="G1" s="23" t="s">
        <v>5</v>
      </c>
      <c r="H1" s="27"/>
      <c r="I1" s="38"/>
      <c r="J1" s="23" t="s">
        <v>6</v>
      </c>
      <c r="K1" s="14"/>
      <c r="L1" s="27"/>
      <c r="M1" s="23" t="s">
        <v>7</v>
      </c>
      <c r="N1" s="38" t="s">
        <v>8</v>
      </c>
      <c r="O1" s="14" t="s">
        <v>9</v>
      </c>
      <c r="P1" s="10" t="s">
        <v>10</v>
      </c>
      <c r="Q1" s="31"/>
      <c r="R1" s="31" t="s">
        <v>11</v>
      </c>
      <c r="S1" s="38" t="s">
        <v>12</v>
      </c>
      <c r="T1" s="14" t="s">
        <v>13</v>
      </c>
      <c r="U1" s="38" t="s">
        <v>14</v>
      </c>
      <c r="V1" s="14" t="s">
        <v>15</v>
      </c>
      <c r="W1" s="23" t="s">
        <v>16</v>
      </c>
      <c r="X1" s="14"/>
      <c r="Y1" s="27"/>
      <c r="Z1" s="10" t="s">
        <v>17</v>
      </c>
      <c r="AA1" s="31"/>
      <c r="AB1" s="38" t="s">
        <v>18</v>
      </c>
      <c r="AC1" s="14"/>
      <c r="AD1" s="38" t="s">
        <v>19</v>
      </c>
      <c r="AE1" s="10" t="s">
        <v>31</v>
      </c>
      <c r="AF1" s="23" t="s">
        <v>58</v>
      </c>
      <c r="AG1" s="31"/>
      <c r="AI1" s="15"/>
    </row>
    <row r="2" spans="1:67" s="1" customFormat="1" ht="13.25" customHeight="1" thickBot="1" x14ac:dyDescent="0.5">
      <c r="B2" s="1" t="s">
        <v>30</v>
      </c>
      <c r="C2" s="3"/>
      <c r="D2" s="11"/>
      <c r="E2" s="20"/>
      <c r="F2" s="32"/>
      <c r="G2" s="24"/>
      <c r="H2" s="28"/>
      <c r="I2" s="39"/>
      <c r="J2" s="24"/>
      <c r="K2"/>
      <c r="L2" s="28"/>
      <c r="M2" s="24"/>
      <c r="N2" s="39"/>
      <c r="O2"/>
      <c r="P2" s="7"/>
      <c r="Q2" s="35"/>
      <c r="R2" s="35"/>
      <c r="S2" s="39"/>
      <c r="T2"/>
      <c r="U2" s="39"/>
      <c r="V2"/>
      <c r="W2" s="24"/>
      <c r="X2"/>
      <c r="Y2" s="28"/>
      <c r="Z2" s="7"/>
      <c r="AA2" s="35"/>
      <c r="AB2" s="39"/>
      <c r="AC2"/>
      <c r="AD2" s="39"/>
      <c r="AE2" s="7"/>
      <c r="AF2" s="24"/>
      <c r="AG2" s="35"/>
      <c r="AH2" s="28"/>
      <c r="AI2" s="16"/>
      <c r="AJ2" s="1" t="s">
        <v>26</v>
      </c>
      <c r="AK2" s="2">
        <v>1</v>
      </c>
      <c r="AL2" s="2">
        <v>2</v>
      </c>
      <c r="AM2" s="2">
        <v>1</v>
      </c>
      <c r="AN2" s="2">
        <v>2</v>
      </c>
      <c r="AO2" s="2">
        <v>2</v>
      </c>
      <c r="AP2" s="2">
        <v>2</v>
      </c>
      <c r="AY2" s="1">
        <f>AK2</f>
        <v>1</v>
      </c>
      <c r="AZ2" s="1">
        <f t="shared" ref="AZ2:BD2" si="0">AL2</f>
        <v>2</v>
      </c>
      <c r="BA2" s="1">
        <f t="shared" si="0"/>
        <v>1</v>
      </c>
      <c r="BB2" s="1">
        <f t="shared" si="0"/>
        <v>2</v>
      </c>
      <c r="BC2" s="1">
        <f t="shared" si="0"/>
        <v>2</v>
      </c>
      <c r="BD2" s="1">
        <f t="shared" si="0"/>
        <v>2</v>
      </c>
      <c r="BF2" s="1">
        <f>SUM(AY2:BD2)</f>
        <v>10</v>
      </c>
    </row>
    <row r="3" spans="1:67" ht="13.25" customHeight="1" x14ac:dyDescent="0.45">
      <c r="D3" s="11"/>
      <c r="E3" s="21" t="s">
        <v>20</v>
      </c>
      <c r="F3" s="33" t="s">
        <v>22</v>
      </c>
      <c r="G3" s="24" t="s">
        <v>21</v>
      </c>
      <c r="H3" s="28" t="s">
        <v>25</v>
      </c>
      <c r="I3" s="39" t="s">
        <v>23</v>
      </c>
      <c r="J3" s="24" t="s">
        <v>21</v>
      </c>
      <c r="K3" s="16" t="s">
        <v>24</v>
      </c>
      <c r="L3" s="28" t="s">
        <v>25</v>
      </c>
      <c r="M3" s="24" t="s">
        <v>21</v>
      </c>
      <c r="N3" s="39" t="s">
        <v>23</v>
      </c>
      <c r="O3" t="s">
        <v>24</v>
      </c>
      <c r="P3" s="7" t="s">
        <v>20</v>
      </c>
      <c r="Q3" s="35" t="s">
        <v>22</v>
      </c>
      <c r="R3" s="35" t="s">
        <v>22</v>
      </c>
      <c r="S3" s="39" t="s">
        <v>23</v>
      </c>
      <c r="T3" t="s">
        <v>24</v>
      </c>
      <c r="U3" s="39" t="s">
        <v>23</v>
      </c>
      <c r="V3" t="s">
        <v>24</v>
      </c>
      <c r="W3" s="24" t="s">
        <v>21</v>
      </c>
      <c r="X3" t="s">
        <v>24</v>
      </c>
      <c r="Y3" s="28" t="s">
        <v>25</v>
      </c>
      <c r="Z3" s="7" t="s">
        <v>20</v>
      </c>
      <c r="AA3" s="35" t="s">
        <v>22</v>
      </c>
      <c r="AB3" s="39" t="s">
        <v>23</v>
      </c>
      <c r="AC3" t="s">
        <v>24</v>
      </c>
      <c r="AD3" s="39" t="s">
        <v>23</v>
      </c>
      <c r="AE3" s="7" t="s">
        <v>20</v>
      </c>
      <c r="AF3" s="24" t="s">
        <v>21</v>
      </c>
      <c r="AG3" s="35" t="s">
        <v>22</v>
      </c>
      <c r="AH3" s="30" t="s">
        <v>25</v>
      </c>
      <c r="AI3" s="16"/>
      <c r="AJ3" s="1" t="s">
        <v>27</v>
      </c>
      <c r="AK3">
        <f t="shared" ref="AK3:AP3" si="1">COUNTIF($E3:$AI3,AK$4)</f>
        <v>4</v>
      </c>
      <c r="AL3">
        <f t="shared" si="1"/>
        <v>5</v>
      </c>
      <c r="AM3">
        <f t="shared" si="1"/>
        <v>5</v>
      </c>
      <c r="AN3">
        <f t="shared" si="1"/>
        <v>6</v>
      </c>
      <c r="AO3">
        <f t="shared" si="1"/>
        <v>6</v>
      </c>
      <c r="AP3">
        <f t="shared" si="1"/>
        <v>4</v>
      </c>
      <c r="AQ3" s="1"/>
    </row>
    <row r="4" spans="1:67" ht="13.25" customHeight="1" thickBot="1" x14ac:dyDescent="0.5">
      <c r="B4" s="5" t="s">
        <v>1</v>
      </c>
      <c r="C4" s="6" t="s">
        <v>2</v>
      </c>
      <c r="D4" s="12" t="s">
        <v>3</v>
      </c>
      <c r="E4" s="22"/>
      <c r="F4" s="34"/>
      <c r="G4" s="25"/>
      <c r="H4" s="29"/>
      <c r="I4" s="40"/>
      <c r="J4" s="25"/>
      <c r="K4" s="18"/>
      <c r="L4" s="29"/>
      <c r="M4" s="25"/>
      <c r="N4" s="40"/>
      <c r="O4" s="18"/>
      <c r="P4" s="13"/>
      <c r="Q4" s="37"/>
      <c r="R4" s="37"/>
      <c r="S4" s="40"/>
      <c r="T4" s="18"/>
      <c r="U4" s="40"/>
      <c r="V4" s="18"/>
      <c r="W4" s="25"/>
      <c r="X4" s="18"/>
      <c r="Y4" s="29"/>
      <c r="Z4" s="13"/>
      <c r="AA4" s="37"/>
      <c r="AB4" s="40"/>
      <c r="AC4" s="18"/>
      <c r="AD4" s="40"/>
      <c r="AE4" s="13"/>
      <c r="AF4" s="25"/>
      <c r="AG4" s="37"/>
      <c r="AH4" s="29"/>
      <c r="AI4" s="17"/>
      <c r="AJ4" t="s">
        <v>28</v>
      </c>
      <c r="AK4" t="s">
        <v>20</v>
      </c>
      <c r="AL4" t="s">
        <v>21</v>
      </c>
      <c r="AM4" t="s">
        <v>22</v>
      </c>
      <c r="AN4" t="s">
        <v>23</v>
      </c>
      <c r="AO4" t="s">
        <v>24</v>
      </c>
      <c r="AP4" t="s">
        <v>25</v>
      </c>
      <c r="AR4" t="s">
        <v>20</v>
      </c>
      <c r="AS4" t="s">
        <v>21</v>
      </c>
      <c r="AT4" t="s">
        <v>22</v>
      </c>
      <c r="AU4" t="s">
        <v>23</v>
      </c>
      <c r="AV4" t="s">
        <v>24</v>
      </c>
      <c r="AW4" t="s">
        <v>25</v>
      </c>
      <c r="AY4" t="s">
        <v>20</v>
      </c>
      <c r="AZ4" t="s">
        <v>21</v>
      </c>
      <c r="BA4" t="s">
        <v>22</v>
      </c>
      <c r="BB4" t="s">
        <v>23</v>
      </c>
      <c r="BC4" t="s">
        <v>24</v>
      </c>
      <c r="BD4" t="s">
        <v>25</v>
      </c>
      <c r="BH4" t="s">
        <v>20</v>
      </c>
      <c r="BI4" t="s">
        <v>21</v>
      </c>
      <c r="BJ4" t="s">
        <v>22</v>
      </c>
      <c r="BK4" t="s">
        <v>23</v>
      </c>
      <c r="BL4" t="s">
        <v>24</v>
      </c>
      <c r="BM4" t="s">
        <v>25</v>
      </c>
    </row>
    <row r="5" spans="1:67" ht="13.25" customHeight="1" x14ac:dyDescent="0.45">
      <c r="A5">
        <v>1</v>
      </c>
      <c r="B5" t="s">
        <v>32</v>
      </c>
      <c r="E5" s="21">
        <v>0</v>
      </c>
      <c r="F5" s="33">
        <v>0</v>
      </c>
      <c r="G5" s="24">
        <v>1</v>
      </c>
      <c r="H5" s="28">
        <v>0</v>
      </c>
      <c r="I5" s="39">
        <v>0</v>
      </c>
      <c r="J5" s="24">
        <v>0</v>
      </c>
      <c r="K5">
        <v>0</v>
      </c>
      <c r="L5" s="28">
        <v>2</v>
      </c>
      <c r="M5" s="24">
        <v>0</v>
      </c>
      <c r="N5" s="39">
        <v>0</v>
      </c>
      <c r="O5">
        <v>0</v>
      </c>
      <c r="P5" s="21">
        <v>2</v>
      </c>
      <c r="Q5" s="33">
        <v>2</v>
      </c>
      <c r="R5" s="35">
        <v>1</v>
      </c>
      <c r="S5" s="39">
        <v>1</v>
      </c>
      <c r="T5">
        <v>0</v>
      </c>
      <c r="U5" s="39">
        <v>0</v>
      </c>
      <c r="V5">
        <v>0</v>
      </c>
      <c r="W5" s="24">
        <v>0</v>
      </c>
      <c r="X5">
        <v>0</v>
      </c>
      <c r="Y5" s="28">
        <v>0</v>
      </c>
      <c r="Z5" s="7">
        <v>0</v>
      </c>
      <c r="AA5" s="35">
        <v>0</v>
      </c>
      <c r="AB5" s="39">
        <v>0</v>
      </c>
      <c r="AC5">
        <v>0</v>
      </c>
      <c r="AD5" s="39">
        <v>0</v>
      </c>
      <c r="AE5" s="7">
        <v>0</v>
      </c>
      <c r="AF5" s="24">
        <v>0</v>
      </c>
      <c r="AG5" s="35">
        <v>0</v>
      </c>
      <c r="AH5" s="28">
        <v>0</v>
      </c>
      <c r="AI5"/>
      <c r="AK5">
        <f>E5+P5+Z5+AE5</f>
        <v>2</v>
      </c>
      <c r="AL5">
        <f>G5+M5+W5+AF5+J5</f>
        <v>1</v>
      </c>
      <c r="AM5">
        <f>F5+Q5+R5+AA5+AG5</f>
        <v>3</v>
      </c>
      <c r="AN5">
        <f>I5+N5+S5+U5+AB5+AD5</f>
        <v>1</v>
      </c>
      <c r="AO5">
        <f>K5+O5+T5+V5+X5+AC5</f>
        <v>0</v>
      </c>
      <c r="AP5">
        <f>H5+L5+Y5+AH5</f>
        <v>2</v>
      </c>
      <c r="AR5">
        <f>AK$2*AK5/(AK$3*2)</f>
        <v>0.25</v>
      </c>
      <c r="AS5">
        <f t="shared" ref="AS5:AW5" si="2">AL$2*AL5/(AL$3*2)</f>
        <v>0.2</v>
      </c>
      <c r="AT5">
        <f t="shared" si="2"/>
        <v>0.3</v>
      </c>
      <c r="AU5">
        <f t="shared" si="2"/>
        <v>0.16666666666666666</v>
      </c>
      <c r="AV5">
        <f t="shared" si="2"/>
        <v>0</v>
      </c>
      <c r="AW5">
        <f t="shared" si="2"/>
        <v>0.5</v>
      </c>
      <c r="AY5" s="4">
        <f>IF(AR5&gt;=0.75*AK$2, AK$2,AR5)</f>
        <v>0.25</v>
      </c>
      <c r="AZ5" s="4">
        <f t="shared" ref="AZ5:BD5" si="3">IF(AS5&gt;=0.75*AL$2, AL$2,AS5)</f>
        <v>0.2</v>
      </c>
      <c r="BA5" s="4">
        <f t="shared" si="3"/>
        <v>0.3</v>
      </c>
      <c r="BB5" s="4">
        <f t="shared" si="3"/>
        <v>0.16666666666666666</v>
      </c>
      <c r="BC5" s="4">
        <f t="shared" si="3"/>
        <v>0</v>
      </c>
      <c r="BD5" s="4">
        <f t="shared" si="3"/>
        <v>0.5</v>
      </c>
      <c r="BE5" s="4"/>
      <c r="BF5" s="2">
        <f>SUM(AY5:BD5)</f>
        <v>1.4166666666666665</v>
      </c>
      <c r="BH5">
        <f t="shared" ref="BH5:BM5" si="4">ROUNDUP(AY5/0.5,0)*0.5</f>
        <v>0.5</v>
      </c>
      <c r="BI5">
        <f t="shared" si="4"/>
        <v>0.5</v>
      </c>
      <c r="BJ5">
        <f t="shared" si="4"/>
        <v>0.5</v>
      </c>
      <c r="BK5">
        <f t="shared" si="4"/>
        <v>0.5</v>
      </c>
      <c r="BL5">
        <f t="shared" si="4"/>
        <v>0</v>
      </c>
      <c r="BM5">
        <f t="shared" si="4"/>
        <v>0.5</v>
      </c>
      <c r="BO5">
        <f>SUM(BH5:BM5)</f>
        <v>2.5</v>
      </c>
    </row>
    <row r="6" spans="1:67" ht="13.25" customHeight="1" x14ac:dyDescent="0.45">
      <c r="A6">
        <f>A5+1</f>
        <v>2</v>
      </c>
      <c r="B6" t="s">
        <v>33</v>
      </c>
      <c r="E6" s="21">
        <v>1</v>
      </c>
      <c r="F6" s="33">
        <v>1</v>
      </c>
      <c r="G6" s="24">
        <v>2</v>
      </c>
      <c r="H6" s="28">
        <v>2</v>
      </c>
      <c r="I6" s="39">
        <v>1</v>
      </c>
      <c r="J6" s="24">
        <v>1</v>
      </c>
      <c r="K6">
        <v>0</v>
      </c>
      <c r="L6" s="28">
        <v>1</v>
      </c>
      <c r="M6" s="24">
        <v>0</v>
      </c>
      <c r="N6" s="39">
        <v>0</v>
      </c>
      <c r="O6">
        <v>0</v>
      </c>
      <c r="P6" s="21">
        <v>2</v>
      </c>
      <c r="Q6" s="33">
        <v>2</v>
      </c>
      <c r="R6" s="35">
        <v>2</v>
      </c>
      <c r="S6" s="39">
        <v>2</v>
      </c>
      <c r="T6">
        <v>2</v>
      </c>
      <c r="U6" s="39">
        <v>2</v>
      </c>
      <c r="V6">
        <v>2</v>
      </c>
      <c r="W6" s="24">
        <v>2</v>
      </c>
      <c r="X6">
        <v>2</v>
      </c>
      <c r="Y6" s="28">
        <v>2</v>
      </c>
      <c r="Z6" s="7">
        <v>2</v>
      </c>
      <c r="AA6" s="35">
        <v>2</v>
      </c>
      <c r="AB6" s="39">
        <v>2</v>
      </c>
      <c r="AC6">
        <v>2</v>
      </c>
      <c r="AD6" s="39">
        <v>2</v>
      </c>
      <c r="AE6" s="7">
        <v>2</v>
      </c>
      <c r="AF6" s="24">
        <v>0</v>
      </c>
      <c r="AG6" s="35">
        <v>2</v>
      </c>
      <c r="AH6" s="28">
        <v>2</v>
      </c>
      <c r="AI6"/>
      <c r="AK6">
        <f t="shared" ref="AK6:AK32" si="5">E6+P6+Z6+AE6</f>
        <v>7</v>
      </c>
      <c r="AL6">
        <f t="shared" ref="AL6:AL32" si="6">G6+M6+W6+AF6+J6</f>
        <v>5</v>
      </c>
      <c r="AM6">
        <f t="shared" ref="AM6:AM32" si="7">F6+Q6+R6+AA6+AG6</f>
        <v>9</v>
      </c>
      <c r="AN6">
        <f t="shared" ref="AN6:AN32" si="8">I6+N6+S6+U6+AB6+AD6</f>
        <v>9</v>
      </c>
      <c r="AO6">
        <f t="shared" ref="AO6:AO32" si="9">K6+O6+T6+V6+X6+AC6</f>
        <v>8</v>
      </c>
      <c r="AP6">
        <f t="shared" ref="AP6:AP32" si="10">H6+L6+Y6+AH6</f>
        <v>7</v>
      </c>
      <c r="AR6">
        <f t="shared" ref="AR6:AR32" si="11">AK$2*AK6/(AK$3*2)</f>
        <v>0.875</v>
      </c>
      <c r="AS6">
        <f t="shared" ref="AS6:AS32" si="12">AL$2*AL6/(AL$3*2)</f>
        <v>1</v>
      </c>
      <c r="AT6">
        <f t="shared" ref="AT6:AT32" si="13">AM$2*AM6/(AM$3*2)</f>
        <v>0.9</v>
      </c>
      <c r="AU6">
        <f t="shared" ref="AU6:AU32" si="14">AN$2*AN6/(AN$3*2)</f>
        <v>1.5</v>
      </c>
      <c r="AV6">
        <f t="shared" ref="AV6:AV32" si="15">AO$2*AO6/(AO$3*2)</f>
        <v>1.3333333333333333</v>
      </c>
      <c r="AW6">
        <f t="shared" ref="AW6:AW32" si="16">AP$2*AP6/(AP$3*2)</f>
        <v>1.75</v>
      </c>
      <c r="AY6" s="4">
        <f t="shared" ref="AY6:AY32" si="17">IF(AR6&gt;=0.75*AK$2, AK$2,AR6)</f>
        <v>1</v>
      </c>
      <c r="AZ6" s="4">
        <f t="shared" ref="AZ6:AZ32" si="18">IF(AS6&gt;=0.75*AL$2, AL$2,AS6)</f>
        <v>1</v>
      </c>
      <c r="BA6" s="4">
        <f t="shared" ref="BA6:BA32" si="19">IF(AT6&gt;=0.75*AM$2, AM$2,AT6)</f>
        <v>1</v>
      </c>
      <c r="BB6" s="4">
        <f t="shared" ref="BB6:BB32" si="20">IF(AU6&gt;=0.75*AN$2, AN$2,AU6)</f>
        <v>2</v>
      </c>
      <c r="BC6" s="4">
        <f t="shared" ref="BC6:BC32" si="21">IF(AV6&gt;=0.75*AO$2, AO$2,AV6)</f>
        <v>1.3333333333333333</v>
      </c>
      <c r="BD6" s="4">
        <f t="shared" ref="BD6:BD32" si="22">IF(AW6&gt;=0.75*AP$2, AP$2,AW6)</f>
        <v>2</v>
      </c>
      <c r="BE6" s="4"/>
      <c r="BF6" s="2">
        <f t="shared" ref="BF6:BF32" si="23">SUM(AY6:BD6)</f>
        <v>8.3333333333333321</v>
      </c>
      <c r="BH6">
        <f t="shared" ref="BH6:BH32" si="24">ROUNDUP(AY6/0.5,0)*0.5</f>
        <v>1</v>
      </c>
      <c r="BI6">
        <f t="shared" ref="BI6:BI32" si="25">ROUNDUP(AZ6/0.5,0)*0.5</f>
        <v>1</v>
      </c>
      <c r="BJ6">
        <f t="shared" ref="BJ6:BJ32" si="26">ROUNDUP(BA6/0.5,0)*0.5</f>
        <v>1</v>
      </c>
      <c r="BK6">
        <f t="shared" ref="BK6:BK32" si="27">ROUNDUP(BB6/0.5,0)*0.5</f>
        <v>2</v>
      </c>
      <c r="BL6">
        <f t="shared" ref="BL6:BL32" si="28">ROUNDUP(BC6/0.5,0)*0.5</f>
        <v>1.5</v>
      </c>
      <c r="BM6">
        <f t="shared" ref="BM6:BM32" si="29">ROUNDUP(BD6/0.5,0)*0.5</f>
        <v>2</v>
      </c>
      <c r="BO6">
        <f t="shared" ref="BO6:BO32" si="30">SUM(BH6:BM6)</f>
        <v>8.5</v>
      </c>
    </row>
    <row r="7" spans="1:67" ht="13.25" customHeight="1" x14ac:dyDescent="0.45">
      <c r="A7">
        <f t="shared" ref="A7:A32" si="31">A6+1</f>
        <v>3</v>
      </c>
      <c r="B7" t="s">
        <v>34</v>
      </c>
      <c r="E7" s="21">
        <v>1</v>
      </c>
      <c r="F7" s="33">
        <v>1</v>
      </c>
      <c r="G7" s="24">
        <v>2</v>
      </c>
      <c r="H7" s="28">
        <v>2</v>
      </c>
      <c r="I7" s="39">
        <v>1</v>
      </c>
      <c r="J7" s="24">
        <v>0</v>
      </c>
      <c r="K7">
        <v>0</v>
      </c>
      <c r="L7" s="28">
        <v>1</v>
      </c>
      <c r="M7" s="24">
        <v>0</v>
      </c>
      <c r="N7" s="39">
        <v>0</v>
      </c>
      <c r="O7">
        <v>0</v>
      </c>
      <c r="P7" s="21">
        <v>2</v>
      </c>
      <c r="Q7" s="33">
        <v>2</v>
      </c>
      <c r="R7" s="35">
        <v>1</v>
      </c>
      <c r="S7" s="39">
        <v>0</v>
      </c>
      <c r="T7">
        <v>0</v>
      </c>
      <c r="U7" s="39">
        <v>1</v>
      </c>
      <c r="V7">
        <v>0</v>
      </c>
      <c r="W7" s="24">
        <v>2</v>
      </c>
      <c r="X7">
        <v>2</v>
      </c>
      <c r="Y7" s="28">
        <v>2</v>
      </c>
      <c r="Z7" s="7">
        <v>0</v>
      </c>
      <c r="AA7" s="35">
        <v>0</v>
      </c>
      <c r="AB7" s="39">
        <v>1</v>
      </c>
      <c r="AC7">
        <v>0</v>
      </c>
      <c r="AD7" s="39">
        <v>0</v>
      </c>
      <c r="AE7" s="7">
        <v>0</v>
      </c>
      <c r="AF7" s="24">
        <v>0</v>
      </c>
      <c r="AG7" s="35">
        <v>0</v>
      </c>
      <c r="AH7" s="28">
        <v>0</v>
      </c>
      <c r="AI7"/>
      <c r="AK7">
        <f t="shared" si="5"/>
        <v>3</v>
      </c>
      <c r="AL7">
        <f t="shared" si="6"/>
        <v>4</v>
      </c>
      <c r="AM7">
        <f t="shared" si="7"/>
        <v>4</v>
      </c>
      <c r="AN7">
        <f t="shared" si="8"/>
        <v>3</v>
      </c>
      <c r="AO7">
        <f t="shared" si="9"/>
        <v>2</v>
      </c>
      <c r="AP7">
        <f t="shared" si="10"/>
        <v>5</v>
      </c>
      <c r="AR7">
        <f t="shared" si="11"/>
        <v>0.375</v>
      </c>
      <c r="AS7">
        <f t="shared" si="12"/>
        <v>0.8</v>
      </c>
      <c r="AT7">
        <f t="shared" si="13"/>
        <v>0.4</v>
      </c>
      <c r="AU7">
        <f t="shared" si="14"/>
        <v>0.5</v>
      </c>
      <c r="AV7">
        <f t="shared" si="15"/>
        <v>0.33333333333333331</v>
      </c>
      <c r="AW7">
        <f t="shared" si="16"/>
        <v>1.25</v>
      </c>
      <c r="AY7" s="4">
        <f t="shared" si="17"/>
        <v>0.375</v>
      </c>
      <c r="AZ7" s="4">
        <f t="shared" si="18"/>
        <v>0.8</v>
      </c>
      <c r="BA7" s="4">
        <f t="shared" si="19"/>
        <v>0.4</v>
      </c>
      <c r="BB7" s="4">
        <f t="shared" si="20"/>
        <v>0.5</v>
      </c>
      <c r="BC7" s="4">
        <f t="shared" si="21"/>
        <v>0.33333333333333331</v>
      </c>
      <c r="BD7" s="4">
        <f t="shared" si="22"/>
        <v>1.25</v>
      </c>
      <c r="BE7" s="4"/>
      <c r="BF7" s="2">
        <f t="shared" si="23"/>
        <v>3.6583333333333337</v>
      </c>
      <c r="BH7">
        <f t="shared" si="24"/>
        <v>0.5</v>
      </c>
      <c r="BI7">
        <f t="shared" si="25"/>
        <v>1</v>
      </c>
      <c r="BJ7">
        <f t="shared" si="26"/>
        <v>0.5</v>
      </c>
      <c r="BK7">
        <f t="shared" si="27"/>
        <v>0.5</v>
      </c>
      <c r="BL7">
        <f t="shared" si="28"/>
        <v>0.5</v>
      </c>
      <c r="BM7">
        <f t="shared" si="29"/>
        <v>1.5</v>
      </c>
      <c r="BO7">
        <f t="shared" si="30"/>
        <v>4.5</v>
      </c>
    </row>
    <row r="8" spans="1:67" ht="13.25" customHeight="1" x14ac:dyDescent="0.45">
      <c r="A8">
        <f t="shared" si="31"/>
        <v>4</v>
      </c>
      <c r="B8" t="s">
        <v>35</v>
      </c>
      <c r="E8" s="21">
        <v>0</v>
      </c>
      <c r="F8" s="33">
        <v>0</v>
      </c>
      <c r="G8" s="24">
        <v>2</v>
      </c>
      <c r="H8" s="28">
        <v>2</v>
      </c>
      <c r="I8" s="39">
        <v>0</v>
      </c>
      <c r="J8" s="24">
        <v>0</v>
      </c>
      <c r="K8">
        <v>0</v>
      </c>
      <c r="L8" s="28">
        <v>0</v>
      </c>
      <c r="M8" s="24">
        <v>0</v>
      </c>
      <c r="N8" s="39">
        <v>2</v>
      </c>
      <c r="O8">
        <v>0</v>
      </c>
      <c r="P8" s="21">
        <v>2</v>
      </c>
      <c r="Q8" s="33">
        <v>2</v>
      </c>
      <c r="R8" s="35">
        <v>0</v>
      </c>
      <c r="S8" s="39">
        <v>0</v>
      </c>
      <c r="T8">
        <v>0</v>
      </c>
      <c r="U8" s="39">
        <v>0</v>
      </c>
      <c r="V8">
        <v>0</v>
      </c>
      <c r="W8" s="24">
        <v>1</v>
      </c>
      <c r="X8">
        <v>0</v>
      </c>
      <c r="Y8" s="28">
        <v>0</v>
      </c>
      <c r="Z8" s="7">
        <v>0</v>
      </c>
      <c r="AA8" s="35">
        <v>0</v>
      </c>
      <c r="AB8" s="39">
        <v>0</v>
      </c>
      <c r="AC8">
        <v>0</v>
      </c>
      <c r="AD8" s="39">
        <v>0</v>
      </c>
      <c r="AE8" s="7">
        <v>0</v>
      </c>
      <c r="AF8" s="24">
        <v>0</v>
      </c>
      <c r="AG8" s="35">
        <v>0</v>
      </c>
      <c r="AH8" s="28">
        <v>0</v>
      </c>
      <c r="AI8"/>
      <c r="AK8">
        <f t="shared" si="5"/>
        <v>2</v>
      </c>
      <c r="AL8">
        <f t="shared" si="6"/>
        <v>3</v>
      </c>
      <c r="AM8">
        <f t="shared" si="7"/>
        <v>2</v>
      </c>
      <c r="AN8">
        <f t="shared" si="8"/>
        <v>2</v>
      </c>
      <c r="AO8">
        <f t="shared" si="9"/>
        <v>0</v>
      </c>
      <c r="AP8">
        <f t="shared" si="10"/>
        <v>2</v>
      </c>
      <c r="AR8">
        <f t="shared" si="11"/>
        <v>0.25</v>
      </c>
      <c r="AS8">
        <f t="shared" si="12"/>
        <v>0.6</v>
      </c>
      <c r="AT8">
        <f t="shared" si="13"/>
        <v>0.2</v>
      </c>
      <c r="AU8">
        <f t="shared" si="14"/>
        <v>0.33333333333333331</v>
      </c>
      <c r="AV8">
        <f t="shared" si="15"/>
        <v>0</v>
      </c>
      <c r="AW8">
        <f t="shared" si="16"/>
        <v>0.5</v>
      </c>
      <c r="AY8" s="4">
        <f t="shared" si="17"/>
        <v>0.25</v>
      </c>
      <c r="AZ8" s="4">
        <f t="shared" si="18"/>
        <v>0.6</v>
      </c>
      <c r="BA8" s="4">
        <f t="shared" si="19"/>
        <v>0.2</v>
      </c>
      <c r="BB8" s="4">
        <f t="shared" si="20"/>
        <v>0.33333333333333331</v>
      </c>
      <c r="BC8" s="4">
        <f t="shared" si="21"/>
        <v>0</v>
      </c>
      <c r="BD8" s="4">
        <f t="shared" si="22"/>
        <v>0.5</v>
      </c>
      <c r="BE8" s="4"/>
      <c r="BF8" s="2">
        <f t="shared" si="23"/>
        <v>1.8833333333333333</v>
      </c>
      <c r="BH8">
        <f t="shared" si="24"/>
        <v>0.5</v>
      </c>
      <c r="BI8">
        <f t="shared" si="25"/>
        <v>1</v>
      </c>
      <c r="BJ8">
        <f t="shared" si="26"/>
        <v>0.5</v>
      </c>
      <c r="BK8">
        <f t="shared" si="27"/>
        <v>0.5</v>
      </c>
      <c r="BL8">
        <f t="shared" si="28"/>
        <v>0</v>
      </c>
      <c r="BM8">
        <f t="shared" si="29"/>
        <v>0.5</v>
      </c>
      <c r="BO8">
        <f t="shared" si="30"/>
        <v>3</v>
      </c>
    </row>
    <row r="9" spans="1:67" ht="13.25" customHeight="1" x14ac:dyDescent="0.45">
      <c r="A9">
        <f t="shared" si="31"/>
        <v>5</v>
      </c>
      <c r="B9" t="s">
        <v>0</v>
      </c>
      <c r="E9" s="21">
        <v>1</v>
      </c>
      <c r="F9" s="33">
        <v>1</v>
      </c>
      <c r="G9" s="24">
        <v>2</v>
      </c>
      <c r="H9" s="28">
        <v>2</v>
      </c>
      <c r="I9" s="39">
        <v>0</v>
      </c>
      <c r="J9" s="24">
        <v>1</v>
      </c>
      <c r="K9">
        <v>0</v>
      </c>
      <c r="L9" s="28">
        <v>0</v>
      </c>
      <c r="M9" s="24">
        <v>0</v>
      </c>
      <c r="N9" s="39">
        <v>0</v>
      </c>
      <c r="O9">
        <v>0</v>
      </c>
      <c r="P9" s="21">
        <v>2</v>
      </c>
      <c r="Q9" s="33">
        <v>2</v>
      </c>
      <c r="R9" s="35">
        <v>1</v>
      </c>
      <c r="S9" s="39">
        <v>2</v>
      </c>
      <c r="T9">
        <v>2</v>
      </c>
      <c r="U9" s="39">
        <v>0</v>
      </c>
      <c r="V9">
        <v>0</v>
      </c>
      <c r="W9" s="24">
        <v>1</v>
      </c>
      <c r="X9">
        <v>0</v>
      </c>
      <c r="Y9" s="28">
        <v>0</v>
      </c>
      <c r="Z9" s="7">
        <v>2</v>
      </c>
      <c r="AA9" s="35">
        <v>2</v>
      </c>
      <c r="AB9" s="39">
        <v>2</v>
      </c>
      <c r="AC9">
        <v>2</v>
      </c>
      <c r="AD9" s="39">
        <v>1</v>
      </c>
      <c r="AE9" s="7">
        <v>0</v>
      </c>
      <c r="AF9" s="24">
        <v>0</v>
      </c>
      <c r="AG9" s="35">
        <v>1</v>
      </c>
      <c r="AH9" s="28">
        <v>1</v>
      </c>
      <c r="AI9"/>
      <c r="AK9">
        <f t="shared" si="5"/>
        <v>5</v>
      </c>
      <c r="AL9">
        <f t="shared" si="6"/>
        <v>4</v>
      </c>
      <c r="AM9">
        <f t="shared" si="7"/>
        <v>7</v>
      </c>
      <c r="AN9">
        <f t="shared" si="8"/>
        <v>5</v>
      </c>
      <c r="AO9">
        <f t="shared" si="9"/>
        <v>4</v>
      </c>
      <c r="AP9">
        <f t="shared" si="10"/>
        <v>3</v>
      </c>
      <c r="AR9">
        <f t="shared" si="11"/>
        <v>0.625</v>
      </c>
      <c r="AS9">
        <f t="shared" si="12"/>
        <v>0.8</v>
      </c>
      <c r="AT9">
        <f t="shared" si="13"/>
        <v>0.7</v>
      </c>
      <c r="AU9">
        <f t="shared" si="14"/>
        <v>0.83333333333333337</v>
      </c>
      <c r="AV9">
        <f t="shared" si="15"/>
        <v>0.66666666666666663</v>
      </c>
      <c r="AW9">
        <f t="shared" si="16"/>
        <v>0.75</v>
      </c>
      <c r="AY9" s="4">
        <f t="shared" si="17"/>
        <v>0.625</v>
      </c>
      <c r="AZ9" s="4">
        <f t="shared" si="18"/>
        <v>0.8</v>
      </c>
      <c r="BA9" s="4">
        <f t="shared" si="19"/>
        <v>0.7</v>
      </c>
      <c r="BB9" s="4">
        <f t="shared" si="20"/>
        <v>0.83333333333333337</v>
      </c>
      <c r="BC9" s="4">
        <f t="shared" si="21"/>
        <v>0.66666666666666663</v>
      </c>
      <c r="BD9" s="4">
        <f t="shared" si="22"/>
        <v>0.75</v>
      </c>
      <c r="BE9" s="4"/>
      <c r="BF9" s="2">
        <f t="shared" si="23"/>
        <v>4.375</v>
      </c>
      <c r="BH9">
        <f t="shared" si="24"/>
        <v>1</v>
      </c>
      <c r="BI9">
        <f t="shared" si="25"/>
        <v>1</v>
      </c>
      <c r="BJ9">
        <f t="shared" si="26"/>
        <v>1</v>
      </c>
      <c r="BK9">
        <f t="shared" si="27"/>
        <v>1</v>
      </c>
      <c r="BL9">
        <f t="shared" si="28"/>
        <v>1</v>
      </c>
      <c r="BM9">
        <f t="shared" si="29"/>
        <v>1</v>
      </c>
      <c r="BO9">
        <f t="shared" si="30"/>
        <v>6</v>
      </c>
    </row>
    <row r="10" spans="1:67" ht="13.25" customHeight="1" x14ac:dyDescent="0.45">
      <c r="A10">
        <f t="shared" si="31"/>
        <v>6</v>
      </c>
      <c r="B10" t="s">
        <v>36</v>
      </c>
      <c r="E10" s="21">
        <v>2</v>
      </c>
      <c r="F10" s="33">
        <v>2</v>
      </c>
      <c r="G10" s="24">
        <v>2</v>
      </c>
      <c r="H10" s="28">
        <v>0</v>
      </c>
      <c r="I10" s="39">
        <v>1</v>
      </c>
      <c r="J10" s="24">
        <v>2</v>
      </c>
      <c r="K10">
        <v>2</v>
      </c>
      <c r="L10" s="28">
        <v>2</v>
      </c>
      <c r="M10" s="24">
        <v>2</v>
      </c>
      <c r="N10" s="39">
        <v>2</v>
      </c>
      <c r="O10">
        <v>2</v>
      </c>
      <c r="P10" s="21">
        <v>2</v>
      </c>
      <c r="Q10" s="33">
        <v>2</v>
      </c>
      <c r="R10" s="35">
        <v>2</v>
      </c>
      <c r="S10" s="39">
        <v>2</v>
      </c>
      <c r="T10">
        <v>2</v>
      </c>
      <c r="U10" s="39">
        <v>1</v>
      </c>
      <c r="V10">
        <v>2</v>
      </c>
      <c r="W10" s="24">
        <v>1</v>
      </c>
      <c r="X10">
        <v>0</v>
      </c>
      <c r="Y10" s="28">
        <v>0</v>
      </c>
      <c r="Z10" s="7">
        <v>2</v>
      </c>
      <c r="AA10" s="35">
        <v>2</v>
      </c>
      <c r="AB10" s="39">
        <v>2</v>
      </c>
      <c r="AC10">
        <v>2</v>
      </c>
      <c r="AD10" s="39">
        <v>1</v>
      </c>
      <c r="AE10" s="7">
        <v>0</v>
      </c>
      <c r="AF10" s="24">
        <v>1</v>
      </c>
      <c r="AG10" s="35">
        <v>0</v>
      </c>
      <c r="AH10" s="28">
        <v>0</v>
      </c>
      <c r="AI10"/>
      <c r="AK10">
        <f t="shared" si="5"/>
        <v>6</v>
      </c>
      <c r="AL10">
        <f t="shared" si="6"/>
        <v>8</v>
      </c>
      <c r="AM10">
        <f t="shared" si="7"/>
        <v>8</v>
      </c>
      <c r="AN10">
        <f t="shared" si="8"/>
        <v>9</v>
      </c>
      <c r="AO10">
        <f t="shared" si="9"/>
        <v>10</v>
      </c>
      <c r="AP10">
        <f t="shared" si="10"/>
        <v>2</v>
      </c>
      <c r="AR10">
        <f t="shared" si="11"/>
        <v>0.75</v>
      </c>
      <c r="AS10">
        <f t="shared" si="12"/>
        <v>1.6</v>
      </c>
      <c r="AT10">
        <f t="shared" si="13"/>
        <v>0.8</v>
      </c>
      <c r="AU10">
        <f t="shared" si="14"/>
        <v>1.5</v>
      </c>
      <c r="AV10">
        <f t="shared" si="15"/>
        <v>1.6666666666666667</v>
      </c>
      <c r="AW10">
        <f t="shared" si="16"/>
        <v>0.5</v>
      </c>
      <c r="AY10" s="4">
        <f t="shared" si="17"/>
        <v>1</v>
      </c>
      <c r="AZ10" s="4">
        <f t="shared" si="18"/>
        <v>2</v>
      </c>
      <c r="BA10" s="4">
        <f t="shared" si="19"/>
        <v>1</v>
      </c>
      <c r="BB10" s="4">
        <f t="shared" si="20"/>
        <v>2</v>
      </c>
      <c r="BC10" s="4">
        <f t="shared" si="21"/>
        <v>2</v>
      </c>
      <c r="BD10" s="4">
        <f t="shared" si="22"/>
        <v>0.5</v>
      </c>
      <c r="BE10" s="4"/>
      <c r="BF10" s="2">
        <f t="shared" si="23"/>
        <v>8.5</v>
      </c>
      <c r="BH10">
        <f t="shared" si="24"/>
        <v>1</v>
      </c>
      <c r="BI10">
        <f t="shared" si="25"/>
        <v>2</v>
      </c>
      <c r="BJ10">
        <f t="shared" si="26"/>
        <v>1</v>
      </c>
      <c r="BK10">
        <f t="shared" si="27"/>
        <v>2</v>
      </c>
      <c r="BL10">
        <f t="shared" si="28"/>
        <v>2</v>
      </c>
      <c r="BM10">
        <f t="shared" si="29"/>
        <v>0.5</v>
      </c>
      <c r="BO10">
        <f t="shared" si="30"/>
        <v>8.5</v>
      </c>
    </row>
    <row r="11" spans="1:67" ht="13.25" customHeight="1" x14ac:dyDescent="0.45">
      <c r="A11">
        <f t="shared" si="31"/>
        <v>7</v>
      </c>
      <c r="B11" t="s">
        <v>37</v>
      </c>
      <c r="E11" s="21">
        <v>2</v>
      </c>
      <c r="F11" s="33">
        <v>2</v>
      </c>
      <c r="G11" s="24">
        <v>2</v>
      </c>
      <c r="H11" s="28">
        <v>2</v>
      </c>
      <c r="I11" s="39">
        <v>2</v>
      </c>
      <c r="J11" s="24">
        <v>2</v>
      </c>
      <c r="K11">
        <v>2</v>
      </c>
      <c r="L11" s="28">
        <v>2</v>
      </c>
      <c r="M11" s="24">
        <v>2</v>
      </c>
      <c r="N11" s="39">
        <v>2</v>
      </c>
      <c r="O11">
        <v>2</v>
      </c>
      <c r="P11" s="21">
        <v>2</v>
      </c>
      <c r="Q11" s="33">
        <v>2</v>
      </c>
      <c r="R11" s="35">
        <v>1</v>
      </c>
      <c r="S11" s="39">
        <v>2</v>
      </c>
      <c r="T11">
        <v>2</v>
      </c>
      <c r="U11" s="39">
        <v>2</v>
      </c>
      <c r="V11">
        <v>2</v>
      </c>
      <c r="W11" s="24">
        <v>2</v>
      </c>
      <c r="X11">
        <v>2</v>
      </c>
      <c r="Y11" s="28">
        <v>2</v>
      </c>
      <c r="Z11" s="7">
        <v>2</v>
      </c>
      <c r="AA11" s="35">
        <v>2</v>
      </c>
      <c r="AB11" s="39">
        <v>2</v>
      </c>
      <c r="AC11">
        <v>2</v>
      </c>
      <c r="AD11" s="39">
        <v>2</v>
      </c>
      <c r="AE11" s="7">
        <v>2</v>
      </c>
      <c r="AF11" s="24">
        <v>2</v>
      </c>
      <c r="AG11" s="35">
        <v>2</v>
      </c>
      <c r="AH11" s="28">
        <v>2</v>
      </c>
      <c r="AI11"/>
      <c r="AK11">
        <f t="shared" si="5"/>
        <v>8</v>
      </c>
      <c r="AL11">
        <f t="shared" si="6"/>
        <v>10</v>
      </c>
      <c r="AM11">
        <f t="shared" si="7"/>
        <v>9</v>
      </c>
      <c r="AN11">
        <f t="shared" si="8"/>
        <v>12</v>
      </c>
      <c r="AO11">
        <f t="shared" si="9"/>
        <v>12</v>
      </c>
      <c r="AP11">
        <f t="shared" si="10"/>
        <v>8</v>
      </c>
      <c r="AR11">
        <f t="shared" si="11"/>
        <v>1</v>
      </c>
      <c r="AS11">
        <f t="shared" si="12"/>
        <v>2</v>
      </c>
      <c r="AT11">
        <f t="shared" si="13"/>
        <v>0.9</v>
      </c>
      <c r="AU11">
        <f t="shared" si="14"/>
        <v>2</v>
      </c>
      <c r="AV11">
        <f t="shared" si="15"/>
        <v>2</v>
      </c>
      <c r="AW11">
        <f t="shared" si="16"/>
        <v>2</v>
      </c>
      <c r="AY11" s="4">
        <f t="shared" si="17"/>
        <v>1</v>
      </c>
      <c r="AZ11" s="4">
        <f t="shared" si="18"/>
        <v>2</v>
      </c>
      <c r="BA11" s="4">
        <f t="shared" si="19"/>
        <v>1</v>
      </c>
      <c r="BB11" s="4">
        <f t="shared" si="20"/>
        <v>2</v>
      </c>
      <c r="BC11" s="4">
        <f t="shared" si="21"/>
        <v>2</v>
      </c>
      <c r="BD11" s="4">
        <f t="shared" si="22"/>
        <v>2</v>
      </c>
      <c r="BE11" s="4"/>
      <c r="BF11" s="2">
        <f t="shared" si="23"/>
        <v>10</v>
      </c>
      <c r="BH11">
        <f t="shared" si="24"/>
        <v>1</v>
      </c>
      <c r="BI11">
        <f t="shared" si="25"/>
        <v>2</v>
      </c>
      <c r="BJ11">
        <f t="shared" si="26"/>
        <v>1</v>
      </c>
      <c r="BK11">
        <f t="shared" si="27"/>
        <v>2</v>
      </c>
      <c r="BL11">
        <f t="shared" si="28"/>
        <v>2</v>
      </c>
      <c r="BM11">
        <f t="shared" si="29"/>
        <v>2</v>
      </c>
      <c r="BO11">
        <f t="shared" si="30"/>
        <v>10</v>
      </c>
    </row>
    <row r="12" spans="1:67" ht="13.25" customHeight="1" x14ac:dyDescent="0.45">
      <c r="A12">
        <f t="shared" si="31"/>
        <v>8</v>
      </c>
      <c r="B12" t="s">
        <v>38</v>
      </c>
      <c r="E12" s="21">
        <v>0</v>
      </c>
      <c r="F12" s="33">
        <v>0</v>
      </c>
      <c r="G12" s="24">
        <v>2</v>
      </c>
      <c r="H12" s="28">
        <v>2</v>
      </c>
      <c r="I12" s="39">
        <v>2</v>
      </c>
      <c r="J12" s="24">
        <v>0</v>
      </c>
      <c r="K12">
        <v>0</v>
      </c>
      <c r="L12" s="28">
        <v>2</v>
      </c>
      <c r="M12" s="24">
        <v>0</v>
      </c>
      <c r="N12" s="39">
        <v>0</v>
      </c>
      <c r="O12">
        <v>0</v>
      </c>
      <c r="P12" s="21">
        <v>2</v>
      </c>
      <c r="Q12" s="33">
        <v>2</v>
      </c>
      <c r="R12" s="35">
        <v>0</v>
      </c>
      <c r="S12" s="39">
        <v>0</v>
      </c>
      <c r="T12">
        <v>0</v>
      </c>
      <c r="U12" s="39">
        <v>0</v>
      </c>
      <c r="V12">
        <v>0</v>
      </c>
      <c r="W12" s="24">
        <v>1</v>
      </c>
      <c r="X12">
        <v>0</v>
      </c>
      <c r="Y12" s="28">
        <v>0</v>
      </c>
      <c r="Z12" s="7">
        <v>2</v>
      </c>
      <c r="AA12" s="35">
        <v>1</v>
      </c>
      <c r="AB12" s="39">
        <v>2</v>
      </c>
      <c r="AC12">
        <v>2</v>
      </c>
      <c r="AD12" s="39">
        <v>0</v>
      </c>
      <c r="AE12" s="7">
        <v>0</v>
      </c>
      <c r="AF12" s="24">
        <v>0</v>
      </c>
      <c r="AG12" s="35">
        <v>1</v>
      </c>
      <c r="AH12" s="28">
        <v>2</v>
      </c>
      <c r="AI12"/>
      <c r="AK12">
        <f t="shared" si="5"/>
        <v>4</v>
      </c>
      <c r="AL12">
        <f t="shared" si="6"/>
        <v>3</v>
      </c>
      <c r="AM12">
        <f t="shared" si="7"/>
        <v>4</v>
      </c>
      <c r="AN12">
        <f t="shared" si="8"/>
        <v>4</v>
      </c>
      <c r="AO12">
        <f t="shared" si="9"/>
        <v>2</v>
      </c>
      <c r="AP12">
        <f t="shared" si="10"/>
        <v>6</v>
      </c>
      <c r="AR12">
        <f t="shared" si="11"/>
        <v>0.5</v>
      </c>
      <c r="AS12">
        <f t="shared" si="12"/>
        <v>0.6</v>
      </c>
      <c r="AT12">
        <f t="shared" si="13"/>
        <v>0.4</v>
      </c>
      <c r="AU12">
        <f t="shared" si="14"/>
        <v>0.66666666666666663</v>
      </c>
      <c r="AV12">
        <f t="shared" si="15"/>
        <v>0.33333333333333331</v>
      </c>
      <c r="AW12">
        <f t="shared" si="16"/>
        <v>1.5</v>
      </c>
      <c r="AY12" s="4">
        <f t="shared" si="17"/>
        <v>0.5</v>
      </c>
      <c r="AZ12" s="4">
        <f t="shared" si="18"/>
        <v>0.6</v>
      </c>
      <c r="BA12" s="4">
        <f t="shared" si="19"/>
        <v>0.4</v>
      </c>
      <c r="BB12" s="4">
        <f t="shared" si="20"/>
        <v>0.66666666666666663</v>
      </c>
      <c r="BC12" s="4">
        <f t="shared" si="21"/>
        <v>0.33333333333333331</v>
      </c>
      <c r="BD12" s="4">
        <f t="shared" si="22"/>
        <v>2</v>
      </c>
      <c r="BE12" s="4"/>
      <c r="BF12" s="2">
        <f t="shared" si="23"/>
        <v>4.5</v>
      </c>
      <c r="BH12">
        <f t="shared" si="24"/>
        <v>0.5</v>
      </c>
      <c r="BI12">
        <f t="shared" si="25"/>
        <v>1</v>
      </c>
      <c r="BJ12">
        <f t="shared" si="26"/>
        <v>0.5</v>
      </c>
      <c r="BK12">
        <f t="shared" si="27"/>
        <v>1</v>
      </c>
      <c r="BL12">
        <f t="shared" si="28"/>
        <v>0.5</v>
      </c>
      <c r="BM12">
        <f t="shared" si="29"/>
        <v>2</v>
      </c>
      <c r="BO12">
        <f t="shared" si="30"/>
        <v>5.5</v>
      </c>
    </row>
    <row r="13" spans="1:67" ht="13.25" customHeight="1" x14ac:dyDescent="0.45">
      <c r="A13">
        <f t="shared" si="31"/>
        <v>9</v>
      </c>
      <c r="B13" t="s">
        <v>39</v>
      </c>
      <c r="E13" s="21">
        <v>0</v>
      </c>
      <c r="F13" s="33">
        <v>0</v>
      </c>
      <c r="G13" s="24">
        <v>0</v>
      </c>
      <c r="H13" s="28">
        <v>0</v>
      </c>
      <c r="I13" s="39">
        <v>0</v>
      </c>
      <c r="J13" s="24">
        <v>0</v>
      </c>
      <c r="K13">
        <v>0</v>
      </c>
      <c r="L13" s="28">
        <v>2</v>
      </c>
      <c r="M13" s="24">
        <v>0</v>
      </c>
      <c r="N13" s="39">
        <v>0</v>
      </c>
      <c r="O13">
        <v>0</v>
      </c>
      <c r="P13" s="21">
        <v>2</v>
      </c>
      <c r="Q13" s="33">
        <v>2</v>
      </c>
      <c r="R13" s="35">
        <v>1</v>
      </c>
      <c r="S13" s="39">
        <v>1</v>
      </c>
      <c r="T13">
        <v>1</v>
      </c>
      <c r="U13" s="39">
        <v>1</v>
      </c>
      <c r="V13">
        <v>0</v>
      </c>
      <c r="W13" s="24">
        <v>2</v>
      </c>
      <c r="X13">
        <v>1</v>
      </c>
      <c r="Y13" s="28">
        <v>2</v>
      </c>
      <c r="Z13" s="7">
        <v>2</v>
      </c>
      <c r="AA13" s="35">
        <v>2</v>
      </c>
      <c r="AB13" s="39">
        <v>2</v>
      </c>
      <c r="AC13">
        <v>2</v>
      </c>
      <c r="AD13" s="39">
        <v>1</v>
      </c>
      <c r="AE13" s="7">
        <v>0</v>
      </c>
      <c r="AF13" s="24">
        <v>0</v>
      </c>
      <c r="AG13" s="35">
        <v>2</v>
      </c>
      <c r="AH13" s="28">
        <v>1</v>
      </c>
      <c r="AI13"/>
      <c r="AK13">
        <f t="shared" si="5"/>
        <v>4</v>
      </c>
      <c r="AL13">
        <f t="shared" si="6"/>
        <v>2</v>
      </c>
      <c r="AM13">
        <f t="shared" si="7"/>
        <v>7</v>
      </c>
      <c r="AN13">
        <f t="shared" si="8"/>
        <v>5</v>
      </c>
      <c r="AO13">
        <f t="shared" si="9"/>
        <v>4</v>
      </c>
      <c r="AP13">
        <f t="shared" si="10"/>
        <v>5</v>
      </c>
      <c r="AR13">
        <f t="shared" si="11"/>
        <v>0.5</v>
      </c>
      <c r="AS13">
        <f t="shared" si="12"/>
        <v>0.4</v>
      </c>
      <c r="AT13">
        <f t="shared" si="13"/>
        <v>0.7</v>
      </c>
      <c r="AU13">
        <f t="shared" si="14"/>
        <v>0.83333333333333337</v>
      </c>
      <c r="AV13">
        <f t="shared" si="15"/>
        <v>0.66666666666666663</v>
      </c>
      <c r="AW13">
        <f t="shared" si="16"/>
        <v>1.25</v>
      </c>
      <c r="AY13" s="4">
        <f t="shared" si="17"/>
        <v>0.5</v>
      </c>
      <c r="AZ13" s="4">
        <f t="shared" si="18"/>
        <v>0.4</v>
      </c>
      <c r="BA13" s="4">
        <f t="shared" si="19"/>
        <v>0.7</v>
      </c>
      <c r="BB13" s="4">
        <f t="shared" si="20"/>
        <v>0.83333333333333337</v>
      </c>
      <c r="BC13" s="4">
        <f t="shared" si="21"/>
        <v>0.66666666666666663</v>
      </c>
      <c r="BD13" s="4">
        <f t="shared" si="22"/>
        <v>1.25</v>
      </c>
      <c r="BE13" s="4"/>
      <c r="BF13" s="2">
        <f t="shared" si="23"/>
        <v>4.3499999999999996</v>
      </c>
      <c r="BH13">
        <f t="shared" si="24"/>
        <v>0.5</v>
      </c>
      <c r="BI13">
        <f t="shared" si="25"/>
        <v>0.5</v>
      </c>
      <c r="BJ13">
        <f t="shared" si="26"/>
        <v>1</v>
      </c>
      <c r="BK13">
        <f t="shared" si="27"/>
        <v>1</v>
      </c>
      <c r="BL13">
        <f t="shared" si="28"/>
        <v>1</v>
      </c>
      <c r="BM13">
        <f t="shared" si="29"/>
        <v>1.5</v>
      </c>
      <c r="BO13">
        <f t="shared" si="30"/>
        <v>5.5</v>
      </c>
    </row>
    <row r="14" spans="1:67" ht="13.25" customHeight="1" x14ac:dyDescent="0.45">
      <c r="A14">
        <f t="shared" si="31"/>
        <v>10</v>
      </c>
      <c r="B14" t="s">
        <v>40</v>
      </c>
      <c r="E14" s="21">
        <v>1</v>
      </c>
      <c r="F14" s="33">
        <v>0</v>
      </c>
      <c r="G14" s="24">
        <v>0</v>
      </c>
      <c r="H14" s="28">
        <v>0</v>
      </c>
      <c r="I14" s="39">
        <v>0</v>
      </c>
      <c r="J14" s="24">
        <v>0</v>
      </c>
      <c r="K14">
        <v>0</v>
      </c>
      <c r="L14" s="28">
        <v>1</v>
      </c>
      <c r="M14" s="24">
        <v>0</v>
      </c>
      <c r="N14" s="39">
        <v>0</v>
      </c>
      <c r="O14">
        <v>0</v>
      </c>
      <c r="P14" s="21">
        <v>2</v>
      </c>
      <c r="Q14" s="33">
        <v>2</v>
      </c>
      <c r="R14" s="35">
        <v>0</v>
      </c>
      <c r="S14" s="39">
        <v>0</v>
      </c>
      <c r="T14">
        <v>0</v>
      </c>
      <c r="U14" s="39">
        <v>0</v>
      </c>
      <c r="V14">
        <v>0</v>
      </c>
      <c r="W14" s="24">
        <v>0</v>
      </c>
      <c r="X14">
        <v>0</v>
      </c>
      <c r="Y14" s="28">
        <v>0</v>
      </c>
      <c r="Z14" s="7">
        <v>0</v>
      </c>
      <c r="AA14" s="35">
        <v>0</v>
      </c>
      <c r="AB14" s="39">
        <v>0</v>
      </c>
      <c r="AC14">
        <v>0</v>
      </c>
      <c r="AD14" s="39">
        <v>0</v>
      </c>
      <c r="AE14" s="7">
        <v>0</v>
      </c>
      <c r="AF14" s="24">
        <v>0</v>
      </c>
      <c r="AG14" s="35">
        <v>0</v>
      </c>
      <c r="AH14" s="28">
        <v>0</v>
      </c>
      <c r="AI14"/>
      <c r="AK14">
        <f t="shared" si="5"/>
        <v>3</v>
      </c>
      <c r="AL14">
        <f t="shared" si="6"/>
        <v>0</v>
      </c>
      <c r="AM14">
        <f t="shared" si="7"/>
        <v>2</v>
      </c>
      <c r="AN14">
        <f t="shared" si="8"/>
        <v>0</v>
      </c>
      <c r="AO14">
        <f t="shared" si="9"/>
        <v>0</v>
      </c>
      <c r="AP14">
        <f t="shared" si="10"/>
        <v>1</v>
      </c>
      <c r="AR14">
        <f t="shared" si="11"/>
        <v>0.375</v>
      </c>
      <c r="AS14">
        <f t="shared" si="12"/>
        <v>0</v>
      </c>
      <c r="AT14">
        <f t="shared" si="13"/>
        <v>0.2</v>
      </c>
      <c r="AU14">
        <f t="shared" si="14"/>
        <v>0</v>
      </c>
      <c r="AV14">
        <f t="shared" si="15"/>
        <v>0</v>
      </c>
      <c r="AW14">
        <f t="shared" si="16"/>
        <v>0.25</v>
      </c>
      <c r="AY14" s="4">
        <f t="shared" si="17"/>
        <v>0.375</v>
      </c>
      <c r="AZ14" s="4">
        <f t="shared" si="18"/>
        <v>0</v>
      </c>
      <c r="BA14" s="4">
        <f t="shared" si="19"/>
        <v>0.2</v>
      </c>
      <c r="BB14" s="4">
        <f t="shared" si="20"/>
        <v>0</v>
      </c>
      <c r="BC14" s="4">
        <f t="shared" si="21"/>
        <v>0</v>
      </c>
      <c r="BD14" s="4">
        <f t="shared" si="22"/>
        <v>0.25</v>
      </c>
      <c r="BE14" s="4"/>
      <c r="BF14" s="2">
        <f t="shared" si="23"/>
        <v>0.82499999999999996</v>
      </c>
      <c r="BH14">
        <f t="shared" si="24"/>
        <v>0.5</v>
      </c>
      <c r="BI14">
        <f t="shared" si="25"/>
        <v>0</v>
      </c>
      <c r="BJ14">
        <f t="shared" si="26"/>
        <v>0.5</v>
      </c>
      <c r="BK14">
        <f t="shared" si="27"/>
        <v>0</v>
      </c>
      <c r="BL14">
        <f t="shared" si="28"/>
        <v>0</v>
      </c>
      <c r="BM14">
        <f t="shared" si="29"/>
        <v>0.5</v>
      </c>
      <c r="BO14">
        <f t="shared" si="30"/>
        <v>1.5</v>
      </c>
    </row>
    <row r="15" spans="1:67" ht="13.25" customHeight="1" x14ac:dyDescent="0.45">
      <c r="A15">
        <f t="shared" si="31"/>
        <v>11</v>
      </c>
      <c r="B15" t="s">
        <v>41</v>
      </c>
      <c r="E15" s="21">
        <v>2</v>
      </c>
      <c r="F15" s="33">
        <v>2</v>
      </c>
      <c r="G15" s="24">
        <v>0</v>
      </c>
      <c r="H15" s="28">
        <v>0</v>
      </c>
      <c r="I15" s="39">
        <v>0</v>
      </c>
      <c r="J15" s="24">
        <v>0</v>
      </c>
      <c r="K15">
        <v>0</v>
      </c>
      <c r="L15" s="28">
        <v>0</v>
      </c>
      <c r="M15" s="24">
        <v>0</v>
      </c>
      <c r="N15" s="39">
        <v>0</v>
      </c>
      <c r="O15">
        <v>0</v>
      </c>
      <c r="P15" s="21">
        <v>2</v>
      </c>
      <c r="Q15" s="33">
        <v>2</v>
      </c>
      <c r="R15" s="35">
        <v>2</v>
      </c>
      <c r="S15" s="39">
        <v>2</v>
      </c>
      <c r="T15">
        <v>2</v>
      </c>
      <c r="U15" s="39">
        <v>2</v>
      </c>
      <c r="V15">
        <v>0</v>
      </c>
      <c r="W15" s="24">
        <v>0</v>
      </c>
      <c r="X15">
        <v>0</v>
      </c>
      <c r="Y15" s="28">
        <v>0</v>
      </c>
      <c r="Z15" s="7">
        <v>2</v>
      </c>
      <c r="AA15" s="35">
        <v>2</v>
      </c>
      <c r="AB15" s="39">
        <v>1</v>
      </c>
      <c r="AC15">
        <v>1</v>
      </c>
      <c r="AD15" s="39">
        <v>0</v>
      </c>
      <c r="AE15" s="7">
        <v>0</v>
      </c>
      <c r="AF15" s="24">
        <v>1</v>
      </c>
      <c r="AG15" s="35">
        <v>1</v>
      </c>
      <c r="AH15" s="28">
        <v>1</v>
      </c>
      <c r="AI15"/>
      <c r="AK15">
        <f t="shared" si="5"/>
        <v>6</v>
      </c>
      <c r="AL15">
        <f t="shared" si="6"/>
        <v>1</v>
      </c>
      <c r="AM15">
        <f t="shared" si="7"/>
        <v>9</v>
      </c>
      <c r="AN15">
        <f t="shared" si="8"/>
        <v>5</v>
      </c>
      <c r="AO15">
        <f t="shared" si="9"/>
        <v>3</v>
      </c>
      <c r="AP15">
        <f t="shared" si="10"/>
        <v>1</v>
      </c>
      <c r="AR15">
        <f t="shared" si="11"/>
        <v>0.75</v>
      </c>
      <c r="AS15">
        <f t="shared" si="12"/>
        <v>0.2</v>
      </c>
      <c r="AT15">
        <f t="shared" si="13"/>
        <v>0.9</v>
      </c>
      <c r="AU15">
        <f t="shared" si="14"/>
        <v>0.83333333333333337</v>
      </c>
      <c r="AV15">
        <f t="shared" si="15"/>
        <v>0.5</v>
      </c>
      <c r="AW15">
        <f t="shared" si="16"/>
        <v>0.25</v>
      </c>
      <c r="AY15" s="4">
        <f t="shared" si="17"/>
        <v>1</v>
      </c>
      <c r="AZ15" s="4">
        <f t="shared" si="18"/>
        <v>0.2</v>
      </c>
      <c r="BA15" s="4">
        <f t="shared" si="19"/>
        <v>1</v>
      </c>
      <c r="BB15" s="4">
        <f t="shared" si="20"/>
        <v>0.83333333333333337</v>
      </c>
      <c r="BC15" s="4">
        <f t="shared" si="21"/>
        <v>0.5</v>
      </c>
      <c r="BD15" s="4">
        <f t="shared" si="22"/>
        <v>0.25</v>
      </c>
      <c r="BE15" s="4"/>
      <c r="BF15" s="2">
        <f t="shared" si="23"/>
        <v>3.7833333333333337</v>
      </c>
      <c r="BH15">
        <f t="shared" si="24"/>
        <v>1</v>
      </c>
      <c r="BI15">
        <f t="shared" si="25"/>
        <v>0.5</v>
      </c>
      <c r="BJ15">
        <f t="shared" si="26"/>
        <v>1</v>
      </c>
      <c r="BK15">
        <f t="shared" si="27"/>
        <v>1</v>
      </c>
      <c r="BL15">
        <f t="shared" si="28"/>
        <v>0.5</v>
      </c>
      <c r="BM15">
        <f t="shared" si="29"/>
        <v>0.5</v>
      </c>
      <c r="BO15">
        <f t="shared" si="30"/>
        <v>4.5</v>
      </c>
    </row>
    <row r="16" spans="1:67" ht="13.25" customHeight="1" x14ac:dyDescent="0.45">
      <c r="A16">
        <f t="shared" si="31"/>
        <v>12</v>
      </c>
      <c r="B16" t="s">
        <v>42</v>
      </c>
      <c r="E16" s="21">
        <v>1</v>
      </c>
      <c r="F16" s="33">
        <v>1</v>
      </c>
      <c r="G16" s="24">
        <v>2</v>
      </c>
      <c r="H16" s="28">
        <v>2</v>
      </c>
      <c r="I16" s="39">
        <v>0</v>
      </c>
      <c r="J16" s="24">
        <v>0</v>
      </c>
      <c r="K16">
        <v>0</v>
      </c>
      <c r="L16" s="28">
        <v>1</v>
      </c>
      <c r="M16" s="24">
        <v>0</v>
      </c>
      <c r="N16" s="39">
        <v>2</v>
      </c>
      <c r="O16">
        <v>0</v>
      </c>
      <c r="P16" s="21">
        <v>2</v>
      </c>
      <c r="Q16" s="33">
        <v>2</v>
      </c>
      <c r="R16" s="35">
        <v>1</v>
      </c>
      <c r="S16" s="39">
        <v>1</v>
      </c>
      <c r="T16">
        <v>2</v>
      </c>
      <c r="U16" s="39">
        <v>1</v>
      </c>
      <c r="V16">
        <v>2</v>
      </c>
      <c r="W16" s="24">
        <v>0</v>
      </c>
      <c r="X16">
        <v>0</v>
      </c>
      <c r="Y16" s="28">
        <v>0</v>
      </c>
      <c r="Z16" s="7">
        <v>2</v>
      </c>
      <c r="AA16" s="35">
        <v>2</v>
      </c>
      <c r="AB16" s="39">
        <v>1</v>
      </c>
      <c r="AC16">
        <v>1</v>
      </c>
      <c r="AD16" s="39">
        <v>0</v>
      </c>
      <c r="AE16" s="7">
        <v>0</v>
      </c>
      <c r="AF16" s="24">
        <v>1</v>
      </c>
      <c r="AG16" s="35">
        <v>2</v>
      </c>
      <c r="AH16" s="28">
        <v>2</v>
      </c>
      <c r="AI16"/>
      <c r="AK16">
        <f t="shared" si="5"/>
        <v>5</v>
      </c>
      <c r="AL16">
        <f t="shared" si="6"/>
        <v>3</v>
      </c>
      <c r="AM16">
        <f t="shared" si="7"/>
        <v>8</v>
      </c>
      <c r="AN16">
        <f t="shared" si="8"/>
        <v>5</v>
      </c>
      <c r="AO16">
        <f t="shared" si="9"/>
        <v>5</v>
      </c>
      <c r="AP16">
        <f t="shared" si="10"/>
        <v>5</v>
      </c>
      <c r="AR16">
        <f t="shared" si="11"/>
        <v>0.625</v>
      </c>
      <c r="AS16">
        <f t="shared" si="12"/>
        <v>0.6</v>
      </c>
      <c r="AT16">
        <f t="shared" si="13"/>
        <v>0.8</v>
      </c>
      <c r="AU16">
        <f t="shared" si="14"/>
        <v>0.83333333333333337</v>
      </c>
      <c r="AV16">
        <f t="shared" si="15"/>
        <v>0.83333333333333337</v>
      </c>
      <c r="AW16">
        <f t="shared" si="16"/>
        <v>1.25</v>
      </c>
      <c r="AY16" s="4">
        <f t="shared" si="17"/>
        <v>0.625</v>
      </c>
      <c r="AZ16" s="4">
        <f t="shared" si="18"/>
        <v>0.6</v>
      </c>
      <c r="BA16" s="4">
        <f t="shared" si="19"/>
        <v>1</v>
      </c>
      <c r="BB16" s="4">
        <f t="shared" si="20"/>
        <v>0.83333333333333337</v>
      </c>
      <c r="BC16" s="4">
        <f t="shared" si="21"/>
        <v>0.83333333333333337</v>
      </c>
      <c r="BD16" s="4">
        <f t="shared" si="22"/>
        <v>1.25</v>
      </c>
      <c r="BE16" s="4"/>
      <c r="BF16" s="2">
        <f t="shared" si="23"/>
        <v>5.1416666666666675</v>
      </c>
      <c r="BH16">
        <f t="shared" si="24"/>
        <v>1</v>
      </c>
      <c r="BI16">
        <f t="shared" si="25"/>
        <v>1</v>
      </c>
      <c r="BJ16">
        <f t="shared" si="26"/>
        <v>1</v>
      </c>
      <c r="BK16">
        <f t="shared" si="27"/>
        <v>1</v>
      </c>
      <c r="BL16">
        <f t="shared" si="28"/>
        <v>1</v>
      </c>
      <c r="BM16">
        <f t="shared" si="29"/>
        <v>1.5</v>
      </c>
      <c r="BO16">
        <f t="shared" si="30"/>
        <v>6.5</v>
      </c>
    </row>
    <row r="17" spans="1:67" ht="13.25" customHeight="1" x14ac:dyDescent="0.45">
      <c r="A17">
        <f t="shared" si="31"/>
        <v>13</v>
      </c>
      <c r="B17" t="s">
        <v>43</v>
      </c>
      <c r="E17" s="21">
        <v>0</v>
      </c>
      <c r="F17" s="33">
        <v>0</v>
      </c>
      <c r="G17" s="24">
        <v>2</v>
      </c>
      <c r="H17" s="28">
        <v>2</v>
      </c>
      <c r="I17" s="39">
        <v>0</v>
      </c>
      <c r="J17" s="24">
        <v>0</v>
      </c>
      <c r="K17">
        <v>0</v>
      </c>
      <c r="L17" s="28">
        <v>1</v>
      </c>
      <c r="M17" s="24">
        <v>0</v>
      </c>
      <c r="N17" s="39">
        <v>2</v>
      </c>
      <c r="O17">
        <v>0</v>
      </c>
      <c r="P17" s="21">
        <v>2</v>
      </c>
      <c r="Q17" s="33">
        <v>2</v>
      </c>
      <c r="R17" s="35">
        <v>0</v>
      </c>
      <c r="S17" s="39">
        <v>0</v>
      </c>
      <c r="T17">
        <v>0</v>
      </c>
      <c r="U17" s="39">
        <v>0</v>
      </c>
      <c r="V17">
        <v>0</v>
      </c>
      <c r="W17" s="24">
        <v>1</v>
      </c>
      <c r="X17">
        <v>0</v>
      </c>
      <c r="Y17" s="28">
        <v>0</v>
      </c>
      <c r="Z17" s="7">
        <v>1</v>
      </c>
      <c r="AA17" s="35">
        <v>1</v>
      </c>
      <c r="AB17" s="39">
        <v>2</v>
      </c>
      <c r="AC17">
        <v>2</v>
      </c>
      <c r="AD17" s="39">
        <v>1</v>
      </c>
      <c r="AE17" s="7">
        <v>1</v>
      </c>
      <c r="AF17" s="24">
        <v>0</v>
      </c>
      <c r="AG17" s="35">
        <v>1</v>
      </c>
      <c r="AH17" s="28">
        <v>2</v>
      </c>
      <c r="AI17"/>
      <c r="AK17">
        <f t="shared" si="5"/>
        <v>4</v>
      </c>
      <c r="AL17">
        <f t="shared" si="6"/>
        <v>3</v>
      </c>
      <c r="AM17">
        <f t="shared" si="7"/>
        <v>4</v>
      </c>
      <c r="AN17">
        <f t="shared" si="8"/>
        <v>5</v>
      </c>
      <c r="AO17">
        <f t="shared" si="9"/>
        <v>2</v>
      </c>
      <c r="AP17">
        <f t="shared" si="10"/>
        <v>5</v>
      </c>
      <c r="AR17">
        <f t="shared" si="11"/>
        <v>0.5</v>
      </c>
      <c r="AS17">
        <f t="shared" si="12"/>
        <v>0.6</v>
      </c>
      <c r="AT17">
        <f t="shared" si="13"/>
        <v>0.4</v>
      </c>
      <c r="AU17">
        <f t="shared" si="14"/>
        <v>0.83333333333333337</v>
      </c>
      <c r="AV17">
        <f t="shared" si="15"/>
        <v>0.33333333333333331</v>
      </c>
      <c r="AW17">
        <f t="shared" si="16"/>
        <v>1.25</v>
      </c>
      <c r="AY17" s="4">
        <f t="shared" si="17"/>
        <v>0.5</v>
      </c>
      <c r="AZ17" s="4">
        <f t="shared" si="18"/>
        <v>0.6</v>
      </c>
      <c r="BA17" s="4">
        <f t="shared" si="19"/>
        <v>0.4</v>
      </c>
      <c r="BB17" s="4">
        <f t="shared" si="20"/>
        <v>0.83333333333333337</v>
      </c>
      <c r="BC17" s="4">
        <f t="shared" si="21"/>
        <v>0.33333333333333331</v>
      </c>
      <c r="BD17" s="4">
        <f t="shared" si="22"/>
        <v>1.25</v>
      </c>
      <c r="BE17" s="4"/>
      <c r="BF17" s="2">
        <f t="shared" si="23"/>
        <v>3.916666666666667</v>
      </c>
      <c r="BH17">
        <f t="shared" si="24"/>
        <v>0.5</v>
      </c>
      <c r="BI17">
        <f t="shared" si="25"/>
        <v>1</v>
      </c>
      <c r="BJ17">
        <f t="shared" si="26"/>
        <v>0.5</v>
      </c>
      <c r="BK17">
        <f t="shared" si="27"/>
        <v>1</v>
      </c>
      <c r="BL17">
        <f t="shared" si="28"/>
        <v>0.5</v>
      </c>
      <c r="BM17">
        <f t="shared" si="29"/>
        <v>1.5</v>
      </c>
      <c r="BO17">
        <f t="shared" si="30"/>
        <v>5</v>
      </c>
    </row>
    <row r="18" spans="1:67" ht="13.25" customHeight="1" x14ac:dyDescent="0.45">
      <c r="A18">
        <f t="shared" si="31"/>
        <v>14</v>
      </c>
      <c r="B18" t="s">
        <v>44</v>
      </c>
      <c r="E18" s="21">
        <v>0</v>
      </c>
      <c r="F18" s="33">
        <v>0</v>
      </c>
      <c r="G18" s="24">
        <v>2</v>
      </c>
      <c r="H18" s="28">
        <v>2</v>
      </c>
      <c r="I18" s="39">
        <v>2</v>
      </c>
      <c r="J18" s="24">
        <v>0</v>
      </c>
      <c r="K18">
        <v>0</v>
      </c>
      <c r="L18" s="28">
        <v>2</v>
      </c>
      <c r="M18" s="24">
        <v>2</v>
      </c>
      <c r="N18" s="39">
        <v>2</v>
      </c>
      <c r="O18">
        <v>2</v>
      </c>
      <c r="P18" s="21">
        <v>2</v>
      </c>
      <c r="Q18" s="33">
        <v>2</v>
      </c>
      <c r="R18" s="35">
        <v>1</v>
      </c>
      <c r="S18" s="39">
        <v>2</v>
      </c>
      <c r="T18">
        <v>2</v>
      </c>
      <c r="U18" s="39">
        <v>2</v>
      </c>
      <c r="V18">
        <v>2</v>
      </c>
      <c r="W18" s="24">
        <v>0</v>
      </c>
      <c r="X18">
        <v>0</v>
      </c>
      <c r="Y18" s="28">
        <v>0</v>
      </c>
      <c r="Z18" s="7">
        <v>2</v>
      </c>
      <c r="AA18" s="35">
        <v>2</v>
      </c>
      <c r="AB18" s="39">
        <v>2</v>
      </c>
      <c r="AC18">
        <v>2</v>
      </c>
      <c r="AD18" s="39">
        <v>2</v>
      </c>
      <c r="AE18" s="7">
        <v>1</v>
      </c>
      <c r="AF18" s="24">
        <v>1</v>
      </c>
      <c r="AG18" s="35">
        <v>1</v>
      </c>
      <c r="AH18" s="28">
        <v>2</v>
      </c>
      <c r="AI18"/>
      <c r="AK18">
        <f t="shared" si="5"/>
        <v>5</v>
      </c>
      <c r="AL18">
        <f t="shared" si="6"/>
        <v>5</v>
      </c>
      <c r="AM18">
        <f t="shared" si="7"/>
        <v>6</v>
      </c>
      <c r="AN18">
        <f t="shared" si="8"/>
        <v>12</v>
      </c>
      <c r="AO18">
        <f t="shared" si="9"/>
        <v>8</v>
      </c>
      <c r="AP18">
        <f t="shared" si="10"/>
        <v>6</v>
      </c>
      <c r="AR18">
        <f t="shared" si="11"/>
        <v>0.625</v>
      </c>
      <c r="AS18">
        <f t="shared" si="12"/>
        <v>1</v>
      </c>
      <c r="AT18">
        <f t="shared" si="13"/>
        <v>0.6</v>
      </c>
      <c r="AU18">
        <f t="shared" si="14"/>
        <v>2</v>
      </c>
      <c r="AV18">
        <f t="shared" si="15"/>
        <v>1.3333333333333333</v>
      </c>
      <c r="AW18">
        <f t="shared" si="16"/>
        <v>1.5</v>
      </c>
      <c r="AY18" s="4">
        <f t="shared" si="17"/>
        <v>0.625</v>
      </c>
      <c r="AZ18" s="4">
        <f t="shared" si="18"/>
        <v>1</v>
      </c>
      <c r="BA18" s="4">
        <f t="shared" si="19"/>
        <v>0.6</v>
      </c>
      <c r="BB18" s="4">
        <f t="shared" si="20"/>
        <v>2</v>
      </c>
      <c r="BC18" s="4">
        <f t="shared" si="21"/>
        <v>1.3333333333333333</v>
      </c>
      <c r="BD18" s="4">
        <f t="shared" si="22"/>
        <v>2</v>
      </c>
      <c r="BE18" s="4"/>
      <c r="BF18" s="2">
        <f t="shared" si="23"/>
        <v>7.5583333333333327</v>
      </c>
      <c r="BH18">
        <f t="shared" si="24"/>
        <v>1</v>
      </c>
      <c r="BI18">
        <f t="shared" si="25"/>
        <v>1</v>
      </c>
      <c r="BJ18">
        <f t="shared" si="26"/>
        <v>1</v>
      </c>
      <c r="BK18">
        <f t="shared" si="27"/>
        <v>2</v>
      </c>
      <c r="BL18">
        <f t="shared" si="28"/>
        <v>1.5</v>
      </c>
      <c r="BM18">
        <f t="shared" si="29"/>
        <v>2</v>
      </c>
      <c r="BO18">
        <f t="shared" si="30"/>
        <v>8.5</v>
      </c>
    </row>
    <row r="19" spans="1:67" ht="13.25" customHeight="1" x14ac:dyDescent="0.45">
      <c r="A19">
        <f t="shared" si="31"/>
        <v>15</v>
      </c>
      <c r="B19" t="s">
        <v>45</v>
      </c>
      <c r="E19" s="21">
        <v>1</v>
      </c>
      <c r="F19" s="33">
        <v>1</v>
      </c>
      <c r="G19" s="24">
        <v>0</v>
      </c>
      <c r="H19" s="28">
        <v>0</v>
      </c>
      <c r="I19" s="39">
        <v>0</v>
      </c>
      <c r="J19" s="24">
        <v>2</v>
      </c>
      <c r="K19">
        <v>2</v>
      </c>
      <c r="L19" s="28">
        <v>2</v>
      </c>
      <c r="M19" s="24">
        <v>0</v>
      </c>
      <c r="N19" s="39">
        <v>2</v>
      </c>
      <c r="O19">
        <v>1</v>
      </c>
      <c r="P19" s="21">
        <v>2</v>
      </c>
      <c r="Q19" s="33">
        <v>2</v>
      </c>
      <c r="R19" s="35">
        <v>1</v>
      </c>
      <c r="S19" s="39">
        <v>2</v>
      </c>
      <c r="T19">
        <v>2</v>
      </c>
      <c r="U19" s="39">
        <v>0</v>
      </c>
      <c r="V19">
        <v>0</v>
      </c>
      <c r="W19" s="24">
        <v>0</v>
      </c>
      <c r="X19">
        <v>0</v>
      </c>
      <c r="Y19" s="28">
        <v>0</v>
      </c>
      <c r="Z19" s="7">
        <v>2</v>
      </c>
      <c r="AA19" s="35">
        <v>2</v>
      </c>
      <c r="AB19" s="39">
        <v>2</v>
      </c>
      <c r="AC19">
        <v>2</v>
      </c>
      <c r="AD19" s="39">
        <v>1</v>
      </c>
      <c r="AE19" s="7">
        <v>1</v>
      </c>
      <c r="AF19" s="24">
        <v>0</v>
      </c>
      <c r="AG19" s="35">
        <v>1</v>
      </c>
      <c r="AH19" s="28">
        <v>0</v>
      </c>
      <c r="AI19"/>
      <c r="AK19">
        <f t="shared" si="5"/>
        <v>6</v>
      </c>
      <c r="AL19">
        <f t="shared" si="6"/>
        <v>2</v>
      </c>
      <c r="AM19">
        <f t="shared" si="7"/>
        <v>7</v>
      </c>
      <c r="AN19">
        <f t="shared" si="8"/>
        <v>7</v>
      </c>
      <c r="AO19">
        <f t="shared" si="9"/>
        <v>7</v>
      </c>
      <c r="AP19">
        <f t="shared" si="10"/>
        <v>2</v>
      </c>
      <c r="AR19">
        <f t="shared" si="11"/>
        <v>0.75</v>
      </c>
      <c r="AS19">
        <f t="shared" si="12"/>
        <v>0.4</v>
      </c>
      <c r="AT19">
        <f t="shared" si="13"/>
        <v>0.7</v>
      </c>
      <c r="AU19">
        <f t="shared" si="14"/>
        <v>1.1666666666666667</v>
      </c>
      <c r="AV19">
        <f t="shared" si="15"/>
        <v>1.1666666666666667</v>
      </c>
      <c r="AW19">
        <f t="shared" si="16"/>
        <v>0.5</v>
      </c>
      <c r="AY19" s="4">
        <f t="shared" si="17"/>
        <v>1</v>
      </c>
      <c r="AZ19" s="4">
        <f t="shared" si="18"/>
        <v>0.4</v>
      </c>
      <c r="BA19" s="4">
        <f t="shared" si="19"/>
        <v>0.7</v>
      </c>
      <c r="BB19" s="4">
        <f t="shared" si="20"/>
        <v>1.1666666666666667</v>
      </c>
      <c r="BC19" s="4">
        <f t="shared" si="21"/>
        <v>1.1666666666666667</v>
      </c>
      <c r="BD19" s="4">
        <f t="shared" si="22"/>
        <v>0.5</v>
      </c>
      <c r="BE19" s="4"/>
      <c r="BF19" s="2">
        <f t="shared" si="23"/>
        <v>4.9333333333333336</v>
      </c>
      <c r="BH19">
        <f t="shared" si="24"/>
        <v>1</v>
      </c>
      <c r="BI19">
        <f t="shared" si="25"/>
        <v>0.5</v>
      </c>
      <c r="BJ19">
        <f t="shared" si="26"/>
        <v>1</v>
      </c>
      <c r="BK19">
        <f t="shared" si="27"/>
        <v>1.5</v>
      </c>
      <c r="BL19">
        <f t="shared" si="28"/>
        <v>1.5</v>
      </c>
      <c r="BM19">
        <f t="shared" si="29"/>
        <v>0.5</v>
      </c>
      <c r="BO19">
        <f t="shared" si="30"/>
        <v>6</v>
      </c>
    </row>
    <row r="20" spans="1:67" ht="13.25" customHeight="1" x14ac:dyDescent="0.45">
      <c r="A20">
        <f t="shared" si="31"/>
        <v>16</v>
      </c>
      <c r="B20" t="s">
        <v>46</v>
      </c>
      <c r="E20" s="21">
        <v>1</v>
      </c>
      <c r="F20" s="33">
        <v>1</v>
      </c>
      <c r="G20" s="24">
        <v>2</v>
      </c>
      <c r="H20" s="28">
        <v>0</v>
      </c>
      <c r="I20" s="39">
        <v>0</v>
      </c>
      <c r="J20" s="24">
        <v>0</v>
      </c>
      <c r="K20">
        <v>0</v>
      </c>
      <c r="L20" s="28">
        <v>0</v>
      </c>
      <c r="M20" s="24">
        <v>0</v>
      </c>
      <c r="N20" s="39">
        <v>0</v>
      </c>
      <c r="O20">
        <v>1</v>
      </c>
      <c r="P20" s="7">
        <v>1</v>
      </c>
      <c r="Q20" s="35">
        <v>1</v>
      </c>
      <c r="R20" s="35">
        <v>1</v>
      </c>
      <c r="S20" s="39">
        <v>1</v>
      </c>
      <c r="T20">
        <v>0</v>
      </c>
      <c r="U20" s="39">
        <v>0</v>
      </c>
      <c r="V20">
        <v>0</v>
      </c>
      <c r="W20" s="24">
        <v>1</v>
      </c>
      <c r="X20">
        <v>0</v>
      </c>
      <c r="Y20" s="28">
        <v>0</v>
      </c>
      <c r="Z20" s="7">
        <v>2</v>
      </c>
      <c r="AA20" s="35">
        <v>2</v>
      </c>
      <c r="AB20" s="39">
        <v>1</v>
      </c>
      <c r="AC20">
        <v>1</v>
      </c>
      <c r="AD20" s="39">
        <v>0</v>
      </c>
      <c r="AE20" s="7">
        <v>0</v>
      </c>
      <c r="AF20" s="24">
        <v>0</v>
      </c>
      <c r="AG20" s="35">
        <v>1</v>
      </c>
      <c r="AH20" s="28">
        <v>1</v>
      </c>
      <c r="AI20"/>
      <c r="AK20">
        <f t="shared" si="5"/>
        <v>4</v>
      </c>
      <c r="AL20">
        <f t="shared" si="6"/>
        <v>3</v>
      </c>
      <c r="AM20">
        <f t="shared" si="7"/>
        <v>6</v>
      </c>
      <c r="AN20">
        <f t="shared" si="8"/>
        <v>2</v>
      </c>
      <c r="AO20">
        <f t="shared" si="9"/>
        <v>2</v>
      </c>
      <c r="AP20">
        <f t="shared" si="10"/>
        <v>1</v>
      </c>
      <c r="AR20">
        <f t="shared" si="11"/>
        <v>0.5</v>
      </c>
      <c r="AS20">
        <f t="shared" si="12"/>
        <v>0.6</v>
      </c>
      <c r="AT20">
        <f t="shared" si="13"/>
        <v>0.6</v>
      </c>
      <c r="AU20">
        <f t="shared" si="14"/>
        <v>0.33333333333333331</v>
      </c>
      <c r="AV20">
        <f t="shared" si="15"/>
        <v>0.33333333333333331</v>
      </c>
      <c r="AW20">
        <f t="shared" si="16"/>
        <v>0.25</v>
      </c>
      <c r="AY20" s="4">
        <f t="shared" si="17"/>
        <v>0.5</v>
      </c>
      <c r="AZ20" s="4">
        <f t="shared" si="18"/>
        <v>0.6</v>
      </c>
      <c r="BA20" s="4">
        <f t="shared" si="19"/>
        <v>0.6</v>
      </c>
      <c r="BB20" s="4">
        <f t="shared" si="20"/>
        <v>0.33333333333333331</v>
      </c>
      <c r="BC20" s="4">
        <f t="shared" si="21"/>
        <v>0.33333333333333331</v>
      </c>
      <c r="BD20" s="4">
        <f t="shared" si="22"/>
        <v>0.25</v>
      </c>
      <c r="BE20" s="4"/>
      <c r="BF20" s="2">
        <f t="shared" si="23"/>
        <v>2.6166666666666671</v>
      </c>
      <c r="BH20">
        <f t="shared" si="24"/>
        <v>0.5</v>
      </c>
      <c r="BI20">
        <f t="shared" si="25"/>
        <v>1</v>
      </c>
      <c r="BJ20">
        <f t="shared" si="26"/>
        <v>1</v>
      </c>
      <c r="BK20">
        <f t="shared" si="27"/>
        <v>0.5</v>
      </c>
      <c r="BL20">
        <f t="shared" si="28"/>
        <v>0.5</v>
      </c>
      <c r="BM20">
        <f t="shared" si="29"/>
        <v>0.5</v>
      </c>
      <c r="BO20">
        <f t="shared" si="30"/>
        <v>4</v>
      </c>
    </row>
    <row r="21" spans="1:67" ht="13.25" customHeight="1" x14ac:dyDescent="0.45">
      <c r="A21">
        <f t="shared" si="31"/>
        <v>17</v>
      </c>
      <c r="B21" t="s">
        <v>47</v>
      </c>
      <c r="E21" s="21">
        <v>0</v>
      </c>
      <c r="F21" s="33">
        <v>0</v>
      </c>
      <c r="G21" s="24">
        <v>2</v>
      </c>
      <c r="H21" s="28">
        <v>2</v>
      </c>
      <c r="I21" s="39">
        <v>2</v>
      </c>
      <c r="J21" s="24">
        <v>0</v>
      </c>
      <c r="K21">
        <v>0</v>
      </c>
      <c r="L21" s="28">
        <v>1</v>
      </c>
      <c r="M21" s="24">
        <v>0</v>
      </c>
      <c r="N21" s="39">
        <v>0</v>
      </c>
      <c r="O21">
        <v>0</v>
      </c>
      <c r="P21" s="21">
        <v>2</v>
      </c>
      <c r="Q21" s="33">
        <v>2</v>
      </c>
      <c r="R21" s="35">
        <v>1</v>
      </c>
      <c r="S21" s="39">
        <v>2</v>
      </c>
      <c r="T21">
        <v>2</v>
      </c>
      <c r="U21" s="39">
        <v>2</v>
      </c>
      <c r="V21">
        <v>0</v>
      </c>
      <c r="W21" s="24">
        <v>1</v>
      </c>
      <c r="X21">
        <v>0</v>
      </c>
      <c r="Y21" s="28">
        <v>2</v>
      </c>
      <c r="Z21" s="7">
        <v>0</v>
      </c>
      <c r="AA21" s="35">
        <v>0</v>
      </c>
      <c r="AB21" s="39">
        <v>0</v>
      </c>
      <c r="AC21"/>
      <c r="AD21" s="39">
        <v>0</v>
      </c>
      <c r="AE21" s="7">
        <v>0</v>
      </c>
      <c r="AF21" s="24">
        <v>2</v>
      </c>
      <c r="AG21" s="35">
        <v>1</v>
      </c>
      <c r="AH21" s="28">
        <v>2</v>
      </c>
      <c r="AI21"/>
      <c r="AK21">
        <f t="shared" si="5"/>
        <v>2</v>
      </c>
      <c r="AL21">
        <f t="shared" si="6"/>
        <v>5</v>
      </c>
      <c r="AM21">
        <f t="shared" si="7"/>
        <v>4</v>
      </c>
      <c r="AN21">
        <f t="shared" si="8"/>
        <v>6</v>
      </c>
      <c r="AO21">
        <f t="shared" si="9"/>
        <v>2</v>
      </c>
      <c r="AP21">
        <f t="shared" si="10"/>
        <v>7</v>
      </c>
      <c r="AR21">
        <f t="shared" si="11"/>
        <v>0.25</v>
      </c>
      <c r="AS21">
        <f t="shared" si="12"/>
        <v>1</v>
      </c>
      <c r="AT21">
        <f t="shared" si="13"/>
        <v>0.4</v>
      </c>
      <c r="AU21">
        <f t="shared" si="14"/>
        <v>1</v>
      </c>
      <c r="AV21">
        <f t="shared" si="15"/>
        <v>0.33333333333333331</v>
      </c>
      <c r="AW21">
        <f t="shared" si="16"/>
        <v>1.75</v>
      </c>
      <c r="AY21" s="4">
        <f t="shared" si="17"/>
        <v>0.25</v>
      </c>
      <c r="AZ21" s="4">
        <f t="shared" si="18"/>
        <v>1</v>
      </c>
      <c r="BA21" s="4">
        <f t="shared" si="19"/>
        <v>0.4</v>
      </c>
      <c r="BB21" s="4">
        <f t="shared" si="20"/>
        <v>1</v>
      </c>
      <c r="BC21" s="4">
        <f t="shared" si="21"/>
        <v>0.33333333333333331</v>
      </c>
      <c r="BD21" s="4">
        <f t="shared" si="22"/>
        <v>2</v>
      </c>
      <c r="BE21" s="4"/>
      <c r="BF21" s="2">
        <f t="shared" si="23"/>
        <v>4.9833333333333334</v>
      </c>
      <c r="BH21">
        <f t="shared" si="24"/>
        <v>0.5</v>
      </c>
      <c r="BI21">
        <f t="shared" si="25"/>
        <v>1</v>
      </c>
      <c r="BJ21">
        <f t="shared" si="26"/>
        <v>0.5</v>
      </c>
      <c r="BK21">
        <f t="shared" si="27"/>
        <v>1</v>
      </c>
      <c r="BL21">
        <f t="shared" si="28"/>
        <v>0.5</v>
      </c>
      <c r="BM21">
        <f t="shared" si="29"/>
        <v>2</v>
      </c>
      <c r="BO21">
        <f t="shared" si="30"/>
        <v>5.5</v>
      </c>
    </row>
    <row r="22" spans="1:67" ht="13.25" customHeight="1" x14ac:dyDescent="0.45">
      <c r="A22">
        <f t="shared" si="31"/>
        <v>18</v>
      </c>
      <c r="B22" t="s">
        <v>48</v>
      </c>
      <c r="E22" s="21">
        <v>0</v>
      </c>
      <c r="F22" s="33">
        <v>0</v>
      </c>
      <c r="G22" s="24">
        <v>2</v>
      </c>
      <c r="H22" s="28">
        <v>2</v>
      </c>
      <c r="I22" s="39">
        <v>0</v>
      </c>
      <c r="J22" s="24">
        <v>0</v>
      </c>
      <c r="K22">
        <v>0</v>
      </c>
      <c r="L22" s="28">
        <v>0</v>
      </c>
      <c r="M22" s="24">
        <v>0</v>
      </c>
      <c r="N22" s="39">
        <v>0</v>
      </c>
      <c r="O22">
        <v>0</v>
      </c>
      <c r="P22" s="21">
        <v>2</v>
      </c>
      <c r="Q22" s="33">
        <v>2</v>
      </c>
      <c r="R22" s="35">
        <v>2</v>
      </c>
      <c r="S22" s="39">
        <v>2</v>
      </c>
      <c r="T22">
        <v>0</v>
      </c>
      <c r="U22" s="39">
        <v>0</v>
      </c>
      <c r="V22">
        <v>0</v>
      </c>
      <c r="W22" s="24">
        <v>0</v>
      </c>
      <c r="X22">
        <v>0</v>
      </c>
      <c r="Y22" s="28">
        <v>0</v>
      </c>
      <c r="Z22" s="7">
        <v>2</v>
      </c>
      <c r="AA22" s="35">
        <v>2</v>
      </c>
      <c r="AB22" s="39">
        <v>1</v>
      </c>
      <c r="AC22">
        <v>1</v>
      </c>
      <c r="AD22" s="39">
        <v>0</v>
      </c>
      <c r="AE22" s="7">
        <v>0</v>
      </c>
      <c r="AF22" s="24">
        <v>0</v>
      </c>
      <c r="AG22" s="35">
        <v>0</v>
      </c>
      <c r="AH22" s="28">
        <v>0</v>
      </c>
      <c r="AI22"/>
      <c r="AK22">
        <f t="shared" si="5"/>
        <v>4</v>
      </c>
      <c r="AL22">
        <f t="shared" si="6"/>
        <v>2</v>
      </c>
      <c r="AM22">
        <f t="shared" si="7"/>
        <v>6</v>
      </c>
      <c r="AN22">
        <f t="shared" si="8"/>
        <v>3</v>
      </c>
      <c r="AO22">
        <f t="shared" si="9"/>
        <v>1</v>
      </c>
      <c r="AP22">
        <f t="shared" si="10"/>
        <v>2</v>
      </c>
      <c r="AR22">
        <f t="shared" si="11"/>
        <v>0.5</v>
      </c>
      <c r="AS22">
        <f t="shared" si="12"/>
        <v>0.4</v>
      </c>
      <c r="AT22">
        <f t="shared" si="13"/>
        <v>0.6</v>
      </c>
      <c r="AU22">
        <f t="shared" si="14"/>
        <v>0.5</v>
      </c>
      <c r="AV22">
        <f t="shared" si="15"/>
        <v>0.16666666666666666</v>
      </c>
      <c r="AW22">
        <f t="shared" si="16"/>
        <v>0.5</v>
      </c>
      <c r="AY22" s="4">
        <f t="shared" si="17"/>
        <v>0.5</v>
      </c>
      <c r="AZ22" s="4">
        <f t="shared" si="18"/>
        <v>0.4</v>
      </c>
      <c r="BA22" s="4">
        <f t="shared" si="19"/>
        <v>0.6</v>
      </c>
      <c r="BB22" s="4">
        <f t="shared" si="20"/>
        <v>0.5</v>
      </c>
      <c r="BC22" s="4">
        <f t="shared" si="21"/>
        <v>0.16666666666666666</v>
      </c>
      <c r="BD22" s="4">
        <f t="shared" si="22"/>
        <v>0.5</v>
      </c>
      <c r="BE22" s="4"/>
      <c r="BF22" s="2">
        <f t="shared" si="23"/>
        <v>2.6666666666666665</v>
      </c>
      <c r="BH22">
        <f t="shared" si="24"/>
        <v>0.5</v>
      </c>
      <c r="BI22">
        <f t="shared" si="25"/>
        <v>0.5</v>
      </c>
      <c r="BJ22">
        <f t="shared" si="26"/>
        <v>1</v>
      </c>
      <c r="BK22">
        <f t="shared" si="27"/>
        <v>0.5</v>
      </c>
      <c r="BL22">
        <f t="shared" si="28"/>
        <v>0.5</v>
      </c>
      <c r="BM22">
        <f t="shared" si="29"/>
        <v>0.5</v>
      </c>
      <c r="BO22">
        <f t="shared" si="30"/>
        <v>3.5</v>
      </c>
    </row>
    <row r="23" spans="1:67" ht="13.25" customHeight="1" x14ac:dyDescent="0.45">
      <c r="A23">
        <f t="shared" si="31"/>
        <v>19</v>
      </c>
      <c r="B23" t="s">
        <v>49</v>
      </c>
      <c r="E23" s="21">
        <v>1</v>
      </c>
      <c r="F23" s="33">
        <v>0</v>
      </c>
      <c r="G23" s="24">
        <v>0</v>
      </c>
      <c r="H23" s="28">
        <v>2</v>
      </c>
      <c r="I23" s="39">
        <v>0</v>
      </c>
      <c r="J23" s="24">
        <v>0</v>
      </c>
      <c r="K23">
        <v>0</v>
      </c>
      <c r="L23" s="28">
        <v>0</v>
      </c>
      <c r="M23" s="24">
        <v>0</v>
      </c>
      <c r="N23" s="39">
        <v>0</v>
      </c>
      <c r="O23">
        <v>0</v>
      </c>
      <c r="P23" s="21">
        <v>2</v>
      </c>
      <c r="Q23" s="33">
        <v>2</v>
      </c>
      <c r="R23" s="35">
        <v>0</v>
      </c>
      <c r="S23" s="39">
        <v>0</v>
      </c>
      <c r="T23">
        <v>0</v>
      </c>
      <c r="U23" s="39">
        <v>0</v>
      </c>
      <c r="V23">
        <v>0</v>
      </c>
      <c r="W23" s="24">
        <v>0</v>
      </c>
      <c r="X23">
        <v>0</v>
      </c>
      <c r="Y23" s="28">
        <v>0</v>
      </c>
      <c r="Z23" s="7">
        <v>0</v>
      </c>
      <c r="AA23" s="35">
        <v>0</v>
      </c>
      <c r="AB23" s="39">
        <v>0</v>
      </c>
      <c r="AC23">
        <v>0</v>
      </c>
      <c r="AD23" s="39">
        <v>0</v>
      </c>
      <c r="AE23" s="7">
        <v>0</v>
      </c>
      <c r="AF23" s="24">
        <v>0</v>
      </c>
      <c r="AG23" s="35">
        <v>0</v>
      </c>
      <c r="AH23" s="28">
        <v>0</v>
      </c>
      <c r="AI23"/>
      <c r="AK23">
        <f t="shared" si="5"/>
        <v>3</v>
      </c>
      <c r="AL23">
        <f t="shared" si="6"/>
        <v>0</v>
      </c>
      <c r="AM23">
        <f t="shared" si="7"/>
        <v>2</v>
      </c>
      <c r="AN23">
        <f t="shared" si="8"/>
        <v>0</v>
      </c>
      <c r="AO23">
        <f t="shared" si="9"/>
        <v>0</v>
      </c>
      <c r="AP23">
        <f t="shared" si="10"/>
        <v>2</v>
      </c>
      <c r="AR23">
        <f t="shared" si="11"/>
        <v>0.375</v>
      </c>
      <c r="AS23">
        <f t="shared" si="12"/>
        <v>0</v>
      </c>
      <c r="AT23">
        <f t="shared" si="13"/>
        <v>0.2</v>
      </c>
      <c r="AU23">
        <f t="shared" si="14"/>
        <v>0</v>
      </c>
      <c r="AV23">
        <f t="shared" si="15"/>
        <v>0</v>
      </c>
      <c r="AW23">
        <f t="shared" si="16"/>
        <v>0.5</v>
      </c>
      <c r="AY23" s="4">
        <f t="shared" si="17"/>
        <v>0.375</v>
      </c>
      <c r="AZ23" s="4">
        <f t="shared" si="18"/>
        <v>0</v>
      </c>
      <c r="BA23" s="4">
        <f t="shared" si="19"/>
        <v>0.2</v>
      </c>
      <c r="BB23" s="4">
        <f t="shared" si="20"/>
        <v>0</v>
      </c>
      <c r="BC23" s="4">
        <f t="shared" si="21"/>
        <v>0</v>
      </c>
      <c r="BD23" s="4">
        <f t="shared" si="22"/>
        <v>0.5</v>
      </c>
      <c r="BE23" s="4"/>
      <c r="BF23" s="2">
        <f t="shared" si="23"/>
        <v>1.075</v>
      </c>
      <c r="BH23">
        <f t="shared" si="24"/>
        <v>0.5</v>
      </c>
      <c r="BI23">
        <f t="shared" si="25"/>
        <v>0</v>
      </c>
      <c r="BJ23">
        <f t="shared" si="26"/>
        <v>0.5</v>
      </c>
      <c r="BK23">
        <f t="shared" si="27"/>
        <v>0</v>
      </c>
      <c r="BL23">
        <f t="shared" si="28"/>
        <v>0</v>
      </c>
      <c r="BM23">
        <f t="shared" si="29"/>
        <v>0.5</v>
      </c>
      <c r="BO23">
        <f t="shared" si="30"/>
        <v>1.5</v>
      </c>
    </row>
    <row r="24" spans="1:67" ht="13.25" customHeight="1" x14ac:dyDescent="0.45">
      <c r="A24">
        <f t="shared" si="31"/>
        <v>20</v>
      </c>
      <c r="B24" t="s">
        <v>50</v>
      </c>
      <c r="E24" s="21">
        <v>1</v>
      </c>
      <c r="F24" s="33">
        <v>1</v>
      </c>
      <c r="G24" s="24">
        <v>2</v>
      </c>
      <c r="H24" s="28">
        <v>0</v>
      </c>
      <c r="I24" s="39">
        <v>0</v>
      </c>
      <c r="J24" s="24">
        <v>0</v>
      </c>
      <c r="K24">
        <v>0</v>
      </c>
      <c r="L24" s="28">
        <v>1</v>
      </c>
      <c r="M24" s="24">
        <v>0</v>
      </c>
      <c r="N24" s="39">
        <v>0</v>
      </c>
      <c r="O24">
        <v>0</v>
      </c>
      <c r="P24" s="7">
        <v>1</v>
      </c>
      <c r="Q24" s="35">
        <v>1</v>
      </c>
      <c r="R24" s="35">
        <v>2</v>
      </c>
      <c r="S24" s="39">
        <v>1</v>
      </c>
      <c r="T24">
        <v>2</v>
      </c>
      <c r="U24" s="39">
        <v>2</v>
      </c>
      <c r="V24">
        <v>0</v>
      </c>
      <c r="W24" s="24">
        <v>0</v>
      </c>
      <c r="X24">
        <v>0</v>
      </c>
      <c r="Y24" s="28">
        <v>0</v>
      </c>
      <c r="Z24" s="7">
        <v>0</v>
      </c>
      <c r="AA24" s="35">
        <v>0</v>
      </c>
      <c r="AB24" s="39">
        <v>2</v>
      </c>
      <c r="AC24">
        <v>2</v>
      </c>
      <c r="AD24" s="39">
        <v>0</v>
      </c>
      <c r="AE24" s="7">
        <v>0</v>
      </c>
      <c r="AF24" s="24">
        <v>0</v>
      </c>
      <c r="AG24" s="35">
        <v>0</v>
      </c>
      <c r="AH24" s="28">
        <v>0</v>
      </c>
      <c r="AI24"/>
      <c r="AK24">
        <f t="shared" si="5"/>
        <v>2</v>
      </c>
      <c r="AL24">
        <f t="shared" si="6"/>
        <v>2</v>
      </c>
      <c r="AM24">
        <f t="shared" si="7"/>
        <v>4</v>
      </c>
      <c r="AN24">
        <f t="shared" si="8"/>
        <v>5</v>
      </c>
      <c r="AO24">
        <f t="shared" si="9"/>
        <v>4</v>
      </c>
      <c r="AP24">
        <f t="shared" si="10"/>
        <v>1</v>
      </c>
      <c r="AR24">
        <f t="shared" si="11"/>
        <v>0.25</v>
      </c>
      <c r="AS24">
        <f t="shared" si="12"/>
        <v>0.4</v>
      </c>
      <c r="AT24">
        <f t="shared" si="13"/>
        <v>0.4</v>
      </c>
      <c r="AU24">
        <f t="shared" si="14"/>
        <v>0.83333333333333337</v>
      </c>
      <c r="AV24">
        <f t="shared" si="15"/>
        <v>0.66666666666666663</v>
      </c>
      <c r="AW24">
        <f t="shared" si="16"/>
        <v>0.25</v>
      </c>
      <c r="AY24" s="4">
        <f t="shared" si="17"/>
        <v>0.25</v>
      </c>
      <c r="AZ24" s="4">
        <f t="shared" si="18"/>
        <v>0.4</v>
      </c>
      <c r="BA24" s="4">
        <f t="shared" si="19"/>
        <v>0.4</v>
      </c>
      <c r="BB24" s="4">
        <f t="shared" si="20"/>
        <v>0.83333333333333337</v>
      </c>
      <c r="BC24" s="4">
        <f t="shared" si="21"/>
        <v>0.66666666666666663</v>
      </c>
      <c r="BD24" s="4">
        <f t="shared" si="22"/>
        <v>0.25</v>
      </c>
      <c r="BE24" s="4"/>
      <c r="BF24" s="2">
        <f t="shared" si="23"/>
        <v>2.8</v>
      </c>
      <c r="BH24">
        <f t="shared" si="24"/>
        <v>0.5</v>
      </c>
      <c r="BI24">
        <f t="shared" si="25"/>
        <v>0.5</v>
      </c>
      <c r="BJ24">
        <f t="shared" si="26"/>
        <v>0.5</v>
      </c>
      <c r="BK24">
        <f t="shared" si="27"/>
        <v>1</v>
      </c>
      <c r="BL24">
        <f t="shared" si="28"/>
        <v>1</v>
      </c>
      <c r="BM24">
        <f t="shared" si="29"/>
        <v>0.5</v>
      </c>
      <c r="BO24">
        <f t="shared" si="30"/>
        <v>4</v>
      </c>
    </row>
    <row r="25" spans="1:67" ht="13.25" customHeight="1" x14ac:dyDescent="0.45">
      <c r="B25" t="s">
        <v>59</v>
      </c>
      <c r="E25" s="21">
        <v>1</v>
      </c>
      <c r="F25" s="33">
        <v>1</v>
      </c>
      <c r="G25" s="24">
        <v>0</v>
      </c>
      <c r="H25" s="28">
        <v>0</v>
      </c>
      <c r="I25" s="39">
        <v>0</v>
      </c>
      <c r="J25" s="24">
        <v>0</v>
      </c>
      <c r="K25">
        <v>0</v>
      </c>
      <c r="L25" s="28">
        <v>0</v>
      </c>
      <c r="M25" s="24">
        <v>0</v>
      </c>
      <c r="N25" s="39">
        <v>2</v>
      </c>
      <c r="O25">
        <v>0</v>
      </c>
      <c r="P25" s="21">
        <v>2</v>
      </c>
      <c r="Q25" s="33">
        <v>2</v>
      </c>
      <c r="R25" s="35">
        <v>0</v>
      </c>
      <c r="S25" s="39">
        <v>2</v>
      </c>
      <c r="T25">
        <v>0</v>
      </c>
      <c r="U25" s="39">
        <v>1</v>
      </c>
      <c r="V25">
        <v>2</v>
      </c>
      <c r="W25" s="24">
        <v>2</v>
      </c>
      <c r="X25">
        <v>2</v>
      </c>
      <c r="Y25" s="28">
        <v>2</v>
      </c>
      <c r="Z25" s="7">
        <v>2</v>
      </c>
      <c r="AA25" s="35">
        <v>2</v>
      </c>
      <c r="AB25" s="39">
        <v>2</v>
      </c>
      <c r="AC25">
        <v>1</v>
      </c>
      <c r="AD25" s="39">
        <v>1</v>
      </c>
      <c r="AE25" s="7">
        <v>0</v>
      </c>
      <c r="AF25" s="24">
        <v>2</v>
      </c>
      <c r="AG25" s="35">
        <v>1</v>
      </c>
      <c r="AH25" s="28">
        <v>1</v>
      </c>
      <c r="AI25"/>
      <c r="AK25">
        <f t="shared" si="5"/>
        <v>5</v>
      </c>
      <c r="AL25">
        <f t="shared" si="6"/>
        <v>4</v>
      </c>
      <c r="AM25">
        <f t="shared" si="7"/>
        <v>6</v>
      </c>
      <c r="AN25">
        <f t="shared" si="8"/>
        <v>8</v>
      </c>
      <c r="AO25">
        <f t="shared" si="9"/>
        <v>5</v>
      </c>
      <c r="AP25">
        <f t="shared" si="10"/>
        <v>3</v>
      </c>
      <c r="AR25">
        <f t="shared" si="11"/>
        <v>0.625</v>
      </c>
      <c r="AS25">
        <f t="shared" si="12"/>
        <v>0.8</v>
      </c>
      <c r="AT25">
        <f t="shared" si="13"/>
        <v>0.6</v>
      </c>
      <c r="AU25">
        <f t="shared" si="14"/>
        <v>1.3333333333333333</v>
      </c>
      <c r="AV25">
        <f t="shared" si="15"/>
        <v>0.83333333333333337</v>
      </c>
      <c r="AW25">
        <f t="shared" si="16"/>
        <v>0.75</v>
      </c>
      <c r="AY25" s="4">
        <f t="shared" si="17"/>
        <v>0.625</v>
      </c>
      <c r="AZ25" s="4">
        <f t="shared" si="18"/>
        <v>0.8</v>
      </c>
      <c r="BA25" s="4">
        <f t="shared" si="19"/>
        <v>0.6</v>
      </c>
      <c r="BB25" s="4">
        <f t="shared" si="20"/>
        <v>1.3333333333333333</v>
      </c>
      <c r="BC25" s="4">
        <f t="shared" si="21"/>
        <v>0.83333333333333337</v>
      </c>
      <c r="BD25" s="4">
        <f t="shared" si="22"/>
        <v>0.75</v>
      </c>
      <c r="BE25" s="4"/>
      <c r="BF25" s="2">
        <f t="shared" si="23"/>
        <v>4.9416666666666664</v>
      </c>
      <c r="BH25">
        <f t="shared" si="24"/>
        <v>1</v>
      </c>
      <c r="BI25">
        <f t="shared" si="25"/>
        <v>1</v>
      </c>
      <c r="BJ25">
        <f t="shared" si="26"/>
        <v>1</v>
      </c>
      <c r="BK25">
        <f t="shared" si="27"/>
        <v>1.5</v>
      </c>
      <c r="BL25">
        <f t="shared" si="28"/>
        <v>1</v>
      </c>
      <c r="BM25">
        <f t="shared" si="29"/>
        <v>1</v>
      </c>
      <c r="BO25">
        <f t="shared" si="30"/>
        <v>6.5</v>
      </c>
    </row>
    <row r="26" spans="1:67" ht="13.25" customHeight="1" x14ac:dyDescent="0.45">
      <c r="A26">
        <f>A24+1</f>
        <v>21</v>
      </c>
      <c r="B26" t="s">
        <v>51</v>
      </c>
      <c r="E26" s="21">
        <v>2</v>
      </c>
      <c r="F26" s="33">
        <v>2</v>
      </c>
      <c r="G26" s="24">
        <v>2</v>
      </c>
      <c r="H26" s="28">
        <v>2</v>
      </c>
      <c r="I26" s="39">
        <v>2</v>
      </c>
      <c r="J26" s="24">
        <v>0</v>
      </c>
      <c r="K26">
        <v>0</v>
      </c>
      <c r="L26" s="28">
        <v>2</v>
      </c>
      <c r="M26" s="24">
        <v>2</v>
      </c>
      <c r="N26" s="39">
        <v>2</v>
      </c>
      <c r="O26">
        <v>0</v>
      </c>
      <c r="P26" s="21">
        <v>2</v>
      </c>
      <c r="Q26" s="33">
        <v>2</v>
      </c>
      <c r="R26" s="35">
        <v>1</v>
      </c>
      <c r="S26" s="39">
        <v>2</v>
      </c>
      <c r="T26">
        <v>2</v>
      </c>
      <c r="U26" s="39">
        <v>2</v>
      </c>
      <c r="V26">
        <v>2</v>
      </c>
      <c r="W26" s="24">
        <v>2</v>
      </c>
      <c r="X26">
        <v>1</v>
      </c>
      <c r="Y26" s="28">
        <v>2</v>
      </c>
      <c r="Z26" s="7">
        <v>2</v>
      </c>
      <c r="AA26" s="35">
        <v>2</v>
      </c>
      <c r="AB26" s="39">
        <v>2</v>
      </c>
      <c r="AC26">
        <v>2</v>
      </c>
      <c r="AD26" s="39">
        <v>0</v>
      </c>
      <c r="AE26" s="7">
        <v>0</v>
      </c>
      <c r="AF26" s="24">
        <v>0</v>
      </c>
      <c r="AG26" s="35">
        <v>0</v>
      </c>
      <c r="AH26" s="28">
        <v>0</v>
      </c>
      <c r="AI26"/>
      <c r="AK26">
        <f t="shared" si="5"/>
        <v>6</v>
      </c>
      <c r="AL26">
        <f t="shared" si="6"/>
        <v>6</v>
      </c>
      <c r="AM26">
        <f t="shared" si="7"/>
        <v>7</v>
      </c>
      <c r="AN26">
        <f t="shared" si="8"/>
        <v>10</v>
      </c>
      <c r="AO26">
        <f t="shared" si="9"/>
        <v>7</v>
      </c>
      <c r="AP26">
        <f t="shared" si="10"/>
        <v>6</v>
      </c>
      <c r="AR26">
        <f t="shared" si="11"/>
        <v>0.75</v>
      </c>
      <c r="AS26">
        <f t="shared" si="12"/>
        <v>1.2</v>
      </c>
      <c r="AT26">
        <f t="shared" si="13"/>
        <v>0.7</v>
      </c>
      <c r="AU26">
        <f t="shared" si="14"/>
        <v>1.6666666666666667</v>
      </c>
      <c r="AV26">
        <f t="shared" si="15"/>
        <v>1.1666666666666667</v>
      </c>
      <c r="AW26">
        <f t="shared" si="16"/>
        <v>1.5</v>
      </c>
      <c r="AY26" s="4">
        <f t="shared" si="17"/>
        <v>1</v>
      </c>
      <c r="AZ26" s="4">
        <f t="shared" si="18"/>
        <v>1.2</v>
      </c>
      <c r="BA26" s="4">
        <f t="shared" si="19"/>
        <v>0.7</v>
      </c>
      <c r="BB26" s="4">
        <f t="shared" si="20"/>
        <v>2</v>
      </c>
      <c r="BC26" s="4">
        <f t="shared" si="21"/>
        <v>1.1666666666666667</v>
      </c>
      <c r="BD26" s="4">
        <f t="shared" si="22"/>
        <v>2</v>
      </c>
      <c r="BE26" s="4"/>
      <c r="BF26" s="2">
        <f t="shared" si="23"/>
        <v>8.0666666666666664</v>
      </c>
      <c r="BH26">
        <f t="shared" si="24"/>
        <v>1</v>
      </c>
      <c r="BI26">
        <f t="shared" si="25"/>
        <v>1.5</v>
      </c>
      <c r="BJ26">
        <f t="shared" si="26"/>
        <v>1</v>
      </c>
      <c r="BK26">
        <f t="shared" si="27"/>
        <v>2</v>
      </c>
      <c r="BL26">
        <f t="shared" si="28"/>
        <v>1.5</v>
      </c>
      <c r="BM26">
        <f t="shared" si="29"/>
        <v>2</v>
      </c>
      <c r="BO26">
        <f t="shared" si="30"/>
        <v>9</v>
      </c>
    </row>
    <row r="27" spans="1:67" ht="13.25" customHeight="1" x14ac:dyDescent="0.45">
      <c r="A27">
        <f t="shared" si="31"/>
        <v>22</v>
      </c>
      <c r="B27" t="s">
        <v>52</v>
      </c>
      <c r="E27" s="21">
        <v>1</v>
      </c>
      <c r="F27" s="33">
        <v>1</v>
      </c>
      <c r="G27" s="24">
        <v>2</v>
      </c>
      <c r="H27" s="28">
        <v>2</v>
      </c>
      <c r="I27" s="39">
        <v>0</v>
      </c>
      <c r="J27" s="24">
        <v>0</v>
      </c>
      <c r="K27">
        <v>0</v>
      </c>
      <c r="L27" s="28">
        <v>2</v>
      </c>
      <c r="M27" s="24">
        <v>0</v>
      </c>
      <c r="N27" s="39">
        <v>2</v>
      </c>
      <c r="O27">
        <v>0</v>
      </c>
      <c r="P27" s="21">
        <v>2</v>
      </c>
      <c r="Q27" s="33">
        <v>2</v>
      </c>
      <c r="R27" s="35">
        <v>1</v>
      </c>
      <c r="S27" s="39">
        <v>0</v>
      </c>
      <c r="T27">
        <v>0</v>
      </c>
      <c r="U27" s="39">
        <v>0</v>
      </c>
      <c r="V27">
        <v>0</v>
      </c>
      <c r="W27" s="24">
        <v>0</v>
      </c>
      <c r="X27">
        <v>0</v>
      </c>
      <c r="Y27" s="28">
        <v>0</v>
      </c>
      <c r="Z27" s="7">
        <v>0</v>
      </c>
      <c r="AA27" s="35">
        <v>0</v>
      </c>
      <c r="AB27" s="39">
        <v>1</v>
      </c>
      <c r="AC27">
        <v>0</v>
      </c>
      <c r="AD27" s="39">
        <v>0</v>
      </c>
      <c r="AE27" s="7">
        <v>0</v>
      </c>
      <c r="AF27" s="24">
        <v>0</v>
      </c>
      <c r="AG27" s="35">
        <v>0</v>
      </c>
      <c r="AH27" s="28">
        <v>0</v>
      </c>
      <c r="AI27"/>
      <c r="AK27">
        <f t="shared" si="5"/>
        <v>3</v>
      </c>
      <c r="AL27">
        <f t="shared" si="6"/>
        <v>2</v>
      </c>
      <c r="AM27">
        <f t="shared" si="7"/>
        <v>4</v>
      </c>
      <c r="AN27">
        <f t="shared" si="8"/>
        <v>3</v>
      </c>
      <c r="AO27">
        <f t="shared" si="9"/>
        <v>0</v>
      </c>
      <c r="AP27">
        <f t="shared" si="10"/>
        <v>4</v>
      </c>
      <c r="AR27">
        <f t="shared" si="11"/>
        <v>0.375</v>
      </c>
      <c r="AS27">
        <f t="shared" si="12"/>
        <v>0.4</v>
      </c>
      <c r="AT27">
        <f t="shared" si="13"/>
        <v>0.4</v>
      </c>
      <c r="AU27">
        <f t="shared" si="14"/>
        <v>0.5</v>
      </c>
      <c r="AV27">
        <f t="shared" si="15"/>
        <v>0</v>
      </c>
      <c r="AW27">
        <f t="shared" si="16"/>
        <v>1</v>
      </c>
      <c r="AY27" s="4">
        <f t="shared" si="17"/>
        <v>0.375</v>
      </c>
      <c r="AZ27" s="4">
        <f t="shared" si="18"/>
        <v>0.4</v>
      </c>
      <c r="BA27" s="4">
        <f t="shared" si="19"/>
        <v>0.4</v>
      </c>
      <c r="BB27" s="4">
        <f t="shared" si="20"/>
        <v>0.5</v>
      </c>
      <c r="BC27" s="4">
        <f t="shared" si="21"/>
        <v>0</v>
      </c>
      <c r="BD27" s="4">
        <f t="shared" si="22"/>
        <v>1</v>
      </c>
      <c r="BE27" s="4"/>
      <c r="BF27" s="2">
        <f t="shared" si="23"/>
        <v>2.6749999999999998</v>
      </c>
      <c r="BH27">
        <f t="shared" si="24"/>
        <v>0.5</v>
      </c>
      <c r="BI27">
        <f t="shared" si="25"/>
        <v>0.5</v>
      </c>
      <c r="BJ27">
        <f t="shared" si="26"/>
        <v>0.5</v>
      </c>
      <c r="BK27">
        <f t="shared" si="27"/>
        <v>0.5</v>
      </c>
      <c r="BL27">
        <f t="shared" si="28"/>
        <v>0</v>
      </c>
      <c r="BM27">
        <f t="shared" si="29"/>
        <v>1</v>
      </c>
      <c r="BO27">
        <f t="shared" si="30"/>
        <v>3</v>
      </c>
    </row>
    <row r="28" spans="1:67" ht="13.25" customHeight="1" x14ac:dyDescent="0.45">
      <c r="A28">
        <f t="shared" si="31"/>
        <v>23</v>
      </c>
      <c r="B28" t="s">
        <v>53</v>
      </c>
      <c r="E28" s="21">
        <v>1</v>
      </c>
      <c r="F28" s="33">
        <v>1</v>
      </c>
      <c r="G28" s="24">
        <v>0</v>
      </c>
      <c r="H28" s="28">
        <v>2</v>
      </c>
      <c r="I28" s="39">
        <v>0</v>
      </c>
      <c r="J28" s="24">
        <v>0</v>
      </c>
      <c r="K28">
        <v>0</v>
      </c>
      <c r="L28" s="28">
        <v>0</v>
      </c>
      <c r="M28" s="24">
        <v>0</v>
      </c>
      <c r="N28" s="39">
        <v>2</v>
      </c>
      <c r="O28">
        <v>0</v>
      </c>
      <c r="P28" s="21">
        <v>2</v>
      </c>
      <c r="Q28" s="33">
        <v>2</v>
      </c>
      <c r="R28" s="35">
        <v>2</v>
      </c>
      <c r="S28" s="39">
        <v>2</v>
      </c>
      <c r="T28">
        <v>2</v>
      </c>
      <c r="U28" s="39">
        <v>2</v>
      </c>
      <c r="V28">
        <v>2</v>
      </c>
      <c r="W28" s="24">
        <v>2</v>
      </c>
      <c r="X28">
        <v>1</v>
      </c>
      <c r="Y28" s="28">
        <v>2</v>
      </c>
      <c r="Z28" s="7">
        <v>2</v>
      </c>
      <c r="AA28" s="35">
        <v>2</v>
      </c>
      <c r="AB28" s="39">
        <v>2</v>
      </c>
      <c r="AC28">
        <v>2</v>
      </c>
      <c r="AD28" s="39">
        <v>1</v>
      </c>
      <c r="AE28" s="7">
        <v>1</v>
      </c>
      <c r="AF28" s="24">
        <v>0</v>
      </c>
      <c r="AG28" s="35">
        <v>2</v>
      </c>
      <c r="AH28" s="28">
        <v>2</v>
      </c>
      <c r="AI28"/>
      <c r="AK28">
        <f t="shared" si="5"/>
        <v>6</v>
      </c>
      <c r="AL28">
        <f t="shared" si="6"/>
        <v>2</v>
      </c>
      <c r="AM28">
        <f t="shared" si="7"/>
        <v>9</v>
      </c>
      <c r="AN28">
        <f t="shared" si="8"/>
        <v>9</v>
      </c>
      <c r="AO28">
        <f t="shared" si="9"/>
        <v>7</v>
      </c>
      <c r="AP28">
        <f t="shared" si="10"/>
        <v>6</v>
      </c>
      <c r="AR28">
        <f t="shared" si="11"/>
        <v>0.75</v>
      </c>
      <c r="AS28">
        <f t="shared" si="12"/>
        <v>0.4</v>
      </c>
      <c r="AT28">
        <f t="shared" si="13"/>
        <v>0.9</v>
      </c>
      <c r="AU28">
        <f t="shared" si="14"/>
        <v>1.5</v>
      </c>
      <c r="AV28">
        <f t="shared" si="15"/>
        <v>1.1666666666666667</v>
      </c>
      <c r="AW28">
        <f t="shared" si="16"/>
        <v>1.5</v>
      </c>
      <c r="AY28" s="4">
        <f t="shared" si="17"/>
        <v>1</v>
      </c>
      <c r="AZ28" s="4">
        <f t="shared" si="18"/>
        <v>0.4</v>
      </c>
      <c r="BA28" s="4">
        <f t="shared" si="19"/>
        <v>1</v>
      </c>
      <c r="BB28" s="4">
        <f t="shared" si="20"/>
        <v>2</v>
      </c>
      <c r="BC28" s="4">
        <f t="shared" si="21"/>
        <v>1.1666666666666667</v>
      </c>
      <c r="BD28" s="4">
        <f t="shared" si="22"/>
        <v>2</v>
      </c>
      <c r="BE28" s="4"/>
      <c r="BF28" s="2">
        <f t="shared" si="23"/>
        <v>7.5666666666666673</v>
      </c>
      <c r="BH28">
        <f t="shared" si="24"/>
        <v>1</v>
      </c>
      <c r="BI28">
        <f t="shared" si="25"/>
        <v>0.5</v>
      </c>
      <c r="BJ28">
        <f t="shared" si="26"/>
        <v>1</v>
      </c>
      <c r="BK28">
        <f t="shared" si="27"/>
        <v>2</v>
      </c>
      <c r="BL28">
        <f t="shared" si="28"/>
        <v>1.5</v>
      </c>
      <c r="BM28">
        <f t="shared" si="29"/>
        <v>2</v>
      </c>
      <c r="BO28">
        <f t="shared" si="30"/>
        <v>8</v>
      </c>
    </row>
    <row r="29" spans="1:67" ht="13.25" customHeight="1" thickBot="1" x14ac:dyDescent="0.5">
      <c r="A29">
        <f t="shared" si="31"/>
        <v>24</v>
      </c>
      <c r="B29" t="s">
        <v>54</v>
      </c>
      <c r="E29" s="22">
        <v>2</v>
      </c>
      <c r="F29" s="34">
        <v>2</v>
      </c>
      <c r="G29" s="24">
        <v>2</v>
      </c>
      <c r="H29" s="28">
        <v>2</v>
      </c>
      <c r="I29" s="39">
        <v>2</v>
      </c>
      <c r="J29" s="24">
        <v>0</v>
      </c>
      <c r="K29">
        <v>0</v>
      </c>
      <c r="L29" s="28">
        <v>0</v>
      </c>
      <c r="M29" s="24">
        <v>0</v>
      </c>
      <c r="N29" s="39">
        <v>2</v>
      </c>
      <c r="O29">
        <v>0</v>
      </c>
      <c r="P29" s="7">
        <v>1</v>
      </c>
      <c r="Q29" s="35">
        <v>1</v>
      </c>
      <c r="R29" s="35">
        <v>0</v>
      </c>
      <c r="S29" s="39">
        <v>1</v>
      </c>
      <c r="T29">
        <v>0</v>
      </c>
      <c r="U29" s="39">
        <v>2</v>
      </c>
      <c r="V29">
        <v>2</v>
      </c>
      <c r="W29" s="24">
        <v>0</v>
      </c>
      <c r="X29">
        <v>0</v>
      </c>
      <c r="Y29" s="28">
        <v>0</v>
      </c>
      <c r="Z29" s="7">
        <v>2</v>
      </c>
      <c r="AA29" s="35">
        <v>2</v>
      </c>
      <c r="AB29" s="39">
        <v>2</v>
      </c>
      <c r="AC29">
        <v>1</v>
      </c>
      <c r="AD29" s="39">
        <v>0</v>
      </c>
      <c r="AE29" s="7">
        <v>0</v>
      </c>
      <c r="AF29" s="24">
        <v>0</v>
      </c>
      <c r="AG29" s="35">
        <v>0</v>
      </c>
      <c r="AH29" s="28">
        <v>0</v>
      </c>
      <c r="AI29"/>
      <c r="AK29">
        <f t="shared" si="5"/>
        <v>5</v>
      </c>
      <c r="AL29">
        <f t="shared" si="6"/>
        <v>2</v>
      </c>
      <c r="AM29">
        <f t="shared" si="7"/>
        <v>5</v>
      </c>
      <c r="AN29">
        <f t="shared" si="8"/>
        <v>9</v>
      </c>
      <c r="AO29">
        <f t="shared" si="9"/>
        <v>3</v>
      </c>
      <c r="AP29">
        <f t="shared" si="10"/>
        <v>2</v>
      </c>
      <c r="AR29">
        <f t="shared" si="11"/>
        <v>0.625</v>
      </c>
      <c r="AS29">
        <f t="shared" si="12"/>
        <v>0.4</v>
      </c>
      <c r="AT29">
        <f t="shared" si="13"/>
        <v>0.5</v>
      </c>
      <c r="AU29">
        <f t="shared" si="14"/>
        <v>1.5</v>
      </c>
      <c r="AV29">
        <f t="shared" si="15"/>
        <v>0.5</v>
      </c>
      <c r="AW29">
        <f t="shared" si="16"/>
        <v>0.5</v>
      </c>
      <c r="AY29" s="4">
        <f t="shared" si="17"/>
        <v>0.625</v>
      </c>
      <c r="AZ29" s="4">
        <f t="shared" si="18"/>
        <v>0.4</v>
      </c>
      <c r="BA29" s="4">
        <f t="shared" si="19"/>
        <v>0.5</v>
      </c>
      <c r="BB29" s="4">
        <f t="shared" si="20"/>
        <v>2</v>
      </c>
      <c r="BC29" s="4">
        <f t="shared" si="21"/>
        <v>0.5</v>
      </c>
      <c r="BD29" s="4">
        <f t="shared" si="22"/>
        <v>0.5</v>
      </c>
      <c r="BE29" s="4"/>
      <c r="BF29" s="2">
        <f t="shared" si="23"/>
        <v>4.5250000000000004</v>
      </c>
      <c r="BH29">
        <f t="shared" si="24"/>
        <v>1</v>
      </c>
      <c r="BI29">
        <f t="shared" si="25"/>
        <v>0.5</v>
      </c>
      <c r="BJ29">
        <f t="shared" si="26"/>
        <v>0.5</v>
      </c>
      <c r="BK29">
        <f t="shared" si="27"/>
        <v>2</v>
      </c>
      <c r="BL29">
        <f t="shared" si="28"/>
        <v>0.5</v>
      </c>
      <c r="BM29">
        <f t="shared" si="29"/>
        <v>0.5</v>
      </c>
      <c r="BO29">
        <f t="shared" si="30"/>
        <v>5</v>
      </c>
    </row>
    <row r="30" spans="1:67" ht="13.25" customHeight="1" thickBot="1" x14ac:dyDescent="0.5">
      <c r="A30">
        <f t="shared" si="31"/>
        <v>25</v>
      </c>
      <c r="B30" t="s">
        <v>55</v>
      </c>
      <c r="E30" s="7">
        <v>1</v>
      </c>
      <c r="F30" s="35">
        <v>1</v>
      </c>
      <c r="G30" s="24">
        <v>2</v>
      </c>
      <c r="H30" s="28">
        <v>2</v>
      </c>
      <c r="I30" s="39">
        <v>2</v>
      </c>
      <c r="J30" s="24">
        <v>0</v>
      </c>
      <c r="K30">
        <v>0</v>
      </c>
      <c r="L30" s="28">
        <v>1</v>
      </c>
      <c r="M30" s="24">
        <v>0</v>
      </c>
      <c r="N30" s="39">
        <v>0</v>
      </c>
      <c r="O30">
        <v>0</v>
      </c>
      <c r="P30" s="21">
        <v>2</v>
      </c>
      <c r="Q30" s="33">
        <v>2</v>
      </c>
      <c r="R30" s="35">
        <v>0</v>
      </c>
      <c r="S30" s="39">
        <v>0</v>
      </c>
      <c r="T30">
        <v>0</v>
      </c>
      <c r="U30" s="39">
        <v>0</v>
      </c>
      <c r="V30">
        <v>0</v>
      </c>
      <c r="W30" s="24">
        <v>0</v>
      </c>
      <c r="X30">
        <v>0</v>
      </c>
      <c r="Y30" s="28">
        <v>0</v>
      </c>
      <c r="Z30" s="7">
        <v>0</v>
      </c>
      <c r="AA30" s="35">
        <v>0</v>
      </c>
      <c r="AB30" s="39">
        <v>0</v>
      </c>
      <c r="AC30">
        <v>0</v>
      </c>
      <c r="AD30" s="39">
        <v>0</v>
      </c>
      <c r="AE30" s="7">
        <v>0</v>
      </c>
      <c r="AF30" s="24">
        <v>1</v>
      </c>
      <c r="AG30" s="35">
        <v>1</v>
      </c>
      <c r="AH30" s="28">
        <v>1</v>
      </c>
      <c r="AI30"/>
      <c r="AK30">
        <f t="shared" si="5"/>
        <v>3</v>
      </c>
      <c r="AL30">
        <f t="shared" si="6"/>
        <v>3</v>
      </c>
      <c r="AM30">
        <f t="shared" si="7"/>
        <v>4</v>
      </c>
      <c r="AN30">
        <f t="shared" si="8"/>
        <v>2</v>
      </c>
      <c r="AO30">
        <f t="shared" si="9"/>
        <v>0</v>
      </c>
      <c r="AP30">
        <f t="shared" si="10"/>
        <v>4</v>
      </c>
      <c r="AR30">
        <f t="shared" si="11"/>
        <v>0.375</v>
      </c>
      <c r="AS30">
        <f t="shared" si="12"/>
        <v>0.6</v>
      </c>
      <c r="AT30">
        <f t="shared" si="13"/>
        <v>0.4</v>
      </c>
      <c r="AU30">
        <f t="shared" si="14"/>
        <v>0.33333333333333331</v>
      </c>
      <c r="AV30">
        <f t="shared" si="15"/>
        <v>0</v>
      </c>
      <c r="AW30">
        <f t="shared" si="16"/>
        <v>1</v>
      </c>
      <c r="AY30" s="4">
        <f t="shared" si="17"/>
        <v>0.375</v>
      </c>
      <c r="AZ30" s="4">
        <f t="shared" si="18"/>
        <v>0.6</v>
      </c>
      <c r="BA30" s="4">
        <f t="shared" si="19"/>
        <v>0.4</v>
      </c>
      <c r="BB30" s="4">
        <f t="shared" si="20"/>
        <v>0.33333333333333331</v>
      </c>
      <c r="BC30" s="4">
        <f t="shared" si="21"/>
        <v>0</v>
      </c>
      <c r="BD30" s="4">
        <f t="shared" si="22"/>
        <v>1</v>
      </c>
      <c r="BE30" s="4"/>
      <c r="BF30" s="2">
        <f t="shared" si="23"/>
        <v>2.708333333333333</v>
      </c>
      <c r="BH30">
        <f t="shared" si="24"/>
        <v>0.5</v>
      </c>
      <c r="BI30">
        <f t="shared" si="25"/>
        <v>1</v>
      </c>
      <c r="BJ30">
        <f t="shared" si="26"/>
        <v>0.5</v>
      </c>
      <c r="BK30">
        <f t="shared" si="27"/>
        <v>0.5</v>
      </c>
      <c r="BL30">
        <f t="shared" si="28"/>
        <v>0</v>
      </c>
      <c r="BM30">
        <f t="shared" si="29"/>
        <v>1</v>
      </c>
      <c r="BO30">
        <f t="shared" si="30"/>
        <v>3.5</v>
      </c>
    </row>
    <row r="31" spans="1:67" ht="13.25" customHeight="1" x14ac:dyDescent="0.45">
      <c r="A31">
        <f t="shared" si="31"/>
        <v>26</v>
      </c>
      <c r="B31" t="s">
        <v>56</v>
      </c>
      <c r="E31" s="8">
        <v>0</v>
      </c>
      <c r="F31" s="36">
        <v>0</v>
      </c>
      <c r="G31" s="26">
        <v>0</v>
      </c>
      <c r="H31" s="30">
        <v>0</v>
      </c>
      <c r="I31" s="41">
        <v>0</v>
      </c>
      <c r="J31" s="26">
        <v>0</v>
      </c>
      <c r="K31" s="19">
        <v>0</v>
      </c>
      <c r="L31" s="30">
        <v>0</v>
      </c>
      <c r="M31" s="26">
        <v>0</v>
      </c>
      <c r="N31" s="41">
        <v>2</v>
      </c>
      <c r="O31" s="19">
        <v>0</v>
      </c>
      <c r="P31" s="21">
        <v>2</v>
      </c>
      <c r="Q31" s="33">
        <v>2</v>
      </c>
      <c r="R31" s="36">
        <v>1</v>
      </c>
      <c r="S31" s="41">
        <v>2</v>
      </c>
      <c r="T31" s="19">
        <v>0</v>
      </c>
      <c r="U31" s="41">
        <v>2</v>
      </c>
      <c r="V31" s="19">
        <v>0</v>
      </c>
      <c r="W31" s="26">
        <v>0</v>
      </c>
      <c r="X31" s="19">
        <v>0</v>
      </c>
      <c r="Y31" s="30">
        <v>0</v>
      </c>
      <c r="Z31" s="8">
        <v>2</v>
      </c>
      <c r="AA31" s="36">
        <v>2</v>
      </c>
      <c r="AB31" s="41">
        <v>2</v>
      </c>
      <c r="AC31" s="19">
        <v>2</v>
      </c>
      <c r="AD31" s="41">
        <v>1</v>
      </c>
      <c r="AE31" s="8">
        <v>0</v>
      </c>
      <c r="AF31" s="26">
        <v>2</v>
      </c>
      <c r="AG31" s="36">
        <v>1</v>
      </c>
      <c r="AH31" s="30">
        <v>1</v>
      </c>
      <c r="AK31">
        <f t="shared" si="5"/>
        <v>4</v>
      </c>
      <c r="AL31">
        <f t="shared" si="6"/>
        <v>2</v>
      </c>
      <c r="AM31">
        <f t="shared" si="7"/>
        <v>6</v>
      </c>
      <c r="AN31">
        <f t="shared" si="8"/>
        <v>9</v>
      </c>
      <c r="AO31">
        <f t="shared" si="9"/>
        <v>2</v>
      </c>
      <c r="AP31">
        <f t="shared" si="10"/>
        <v>1</v>
      </c>
      <c r="AR31">
        <f t="shared" si="11"/>
        <v>0.5</v>
      </c>
      <c r="AS31">
        <f t="shared" si="12"/>
        <v>0.4</v>
      </c>
      <c r="AT31">
        <f t="shared" si="13"/>
        <v>0.6</v>
      </c>
      <c r="AU31">
        <f t="shared" si="14"/>
        <v>1.5</v>
      </c>
      <c r="AV31">
        <f t="shared" si="15"/>
        <v>0.33333333333333331</v>
      </c>
      <c r="AW31">
        <f t="shared" si="16"/>
        <v>0.25</v>
      </c>
      <c r="AY31" s="4">
        <f t="shared" si="17"/>
        <v>0.5</v>
      </c>
      <c r="AZ31" s="4">
        <f t="shared" si="18"/>
        <v>0.4</v>
      </c>
      <c r="BA31" s="4">
        <f t="shared" si="19"/>
        <v>0.6</v>
      </c>
      <c r="BB31" s="4">
        <f t="shared" si="20"/>
        <v>2</v>
      </c>
      <c r="BC31" s="4">
        <f t="shared" si="21"/>
        <v>0.33333333333333331</v>
      </c>
      <c r="BD31" s="4">
        <f t="shared" si="22"/>
        <v>0.25</v>
      </c>
      <c r="BE31" s="4"/>
      <c r="BF31" s="2">
        <f t="shared" si="23"/>
        <v>4.0833333333333339</v>
      </c>
      <c r="BH31">
        <f t="shared" si="24"/>
        <v>0.5</v>
      </c>
      <c r="BI31">
        <f t="shared" si="25"/>
        <v>0.5</v>
      </c>
      <c r="BJ31">
        <f t="shared" si="26"/>
        <v>1</v>
      </c>
      <c r="BK31">
        <f t="shared" si="27"/>
        <v>2</v>
      </c>
      <c r="BL31">
        <f t="shared" si="28"/>
        <v>0.5</v>
      </c>
      <c r="BM31">
        <f t="shared" si="29"/>
        <v>0.5</v>
      </c>
      <c r="BO31">
        <f t="shared" si="30"/>
        <v>5</v>
      </c>
    </row>
    <row r="32" spans="1:67" ht="13.25" customHeight="1" x14ac:dyDescent="0.45">
      <c r="A32">
        <f t="shared" si="31"/>
        <v>27</v>
      </c>
      <c r="B32" t="s">
        <v>57</v>
      </c>
      <c r="E32" s="7">
        <v>2</v>
      </c>
      <c r="F32" s="35">
        <v>2</v>
      </c>
      <c r="G32" s="24">
        <v>2</v>
      </c>
      <c r="H32" s="28">
        <v>2</v>
      </c>
      <c r="I32" s="39">
        <v>2</v>
      </c>
      <c r="J32" s="24">
        <v>1</v>
      </c>
      <c r="K32">
        <v>0</v>
      </c>
      <c r="L32" s="28">
        <v>2</v>
      </c>
      <c r="M32" s="24">
        <v>2</v>
      </c>
      <c r="N32" s="39">
        <v>2</v>
      </c>
      <c r="O32">
        <v>1</v>
      </c>
      <c r="P32" s="21">
        <v>2</v>
      </c>
      <c r="Q32" s="33">
        <v>2</v>
      </c>
      <c r="R32" s="35">
        <v>2</v>
      </c>
      <c r="S32" s="39">
        <v>2</v>
      </c>
      <c r="T32">
        <v>2</v>
      </c>
      <c r="U32" s="39">
        <v>1</v>
      </c>
      <c r="V32">
        <v>2</v>
      </c>
      <c r="W32" s="24">
        <v>2</v>
      </c>
      <c r="X32">
        <v>2</v>
      </c>
      <c r="Y32" s="28">
        <v>0</v>
      </c>
      <c r="Z32" s="7">
        <v>2</v>
      </c>
      <c r="AA32" s="35">
        <v>1</v>
      </c>
      <c r="AB32" s="39">
        <v>0</v>
      </c>
      <c r="AC32">
        <v>0</v>
      </c>
      <c r="AD32" s="39">
        <v>1</v>
      </c>
      <c r="AE32" s="7">
        <v>0</v>
      </c>
      <c r="AF32" s="24">
        <v>1</v>
      </c>
      <c r="AG32" s="35">
        <v>2</v>
      </c>
      <c r="AH32" s="28">
        <v>2</v>
      </c>
      <c r="AI32"/>
      <c r="AK32">
        <f t="shared" si="5"/>
        <v>6</v>
      </c>
      <c r="AL32">
        <f t="shared" si="6"/>
        <v>8</v>
      </c>
      <c r="AM32">
        <f t="shared" si="7"/>
        <v>9</v>
      </c>
      <c r="AN32">
        <f t="shared" si="8"/>
        <v>8</v>
      </c>
      <c r="AO32">
        <f t="shared" si="9"/>
        <v>7</v>
      </c>
      <c r="AP32">
        <f t="shared" si="10"/>
        <v>6</v>
      </c>
      <c r="AR32">
        <f t="shared" si="11"/>
        <v>0.75</v>
      </c>
      <c r="AS32">
        <f t="shared" si="12"/>
        <v>1.6</v>
      </c>
      <c r="AT32">
        <f t="shared" si="13"/>
        <v>0.9</v>
      </c>
      <c r="AU32">
        <f t="shared" si="14"/>
        <v>1.3333333333333333</v>
      </c>
      <c r="AV32">
        <f t="shared" si="15"/>
        <v>1.1666666666666667</v>
      </c>
      <c r="AW32">
        <f t="shared" si="16"/>
        <v>1.5</v>
      </c>
      <c r="AY32" s="4">
        <f t="shared" si="17"/>
        <v>1</v>
      </c>
      <c r="AZ32" s="4">
        <f t="shared" si="18"/>
        <v>2</v>
      </c>
      <c r="BA32" s="4">
        <f t="shared" si="19"/>
        <v>1</v>
      </c>
      <c r="BB32" s="4">
        <f t="shared" si="20"/>
        <v>1.3333333333333333</v>
      </c>
      <c r="BC32" s="4">
        <f t="shared" si="21"/>
        <v>1.1666666666666667</v>
      </c>
      <c r="BD32" s="4">
        <f t="shared" si="22"/>
        <v>2</v>
      </c>
      <c r="BE32" s="4"/>
      <c r="BF32" s="2">
        <f t="shared" si="23"/>
        <v>8.5</v>
      </c>
      <c r="BH32">
        <f t="shared" si="24"/>
        <v>1</v>
      </c>
      <c r="BI32">
        <f t="shared" si="25"/>
        <v>2</v>
      </c>
      <c r="BJ32">
        <f t="shared" si="26"/>
        <v>1</v>
      </c>
      <c r="BK32">
        <f t="shared" si="27"/>
        <v>1.5</v>
      </c>
      <c r="BL32">
        <f t="shared" si="28"/>
        <v>1.5</v>
      </c>
      <c r="BM32">
        <f t="shared" si="29"/>
        <v>2</v>
      </c>
      <c r="BO32">
        <f t="shared" si="30"/>
        <v>9</v>
      </c>
    </row>
    <row r="33" spans="5:67" ht="13.25" customHeight="1" x14ac:dyDescent="0.45">
      <c r="E33" s="7"/>
      <c r="F33" s="35"/>
      <c r="G33" s="24"/>
      <c r="H33" s="28"/>
      <c r="I33" s="39"/>
      <c r="J33" s="24"/>
      <c r="K33"/>
      <c r="L33" s="28"/>
      <c r="M33" s="24"/>
      <c r="N33" s="39"/>
      <c r="O33"/>
      <c r="P33" s="7"/>
      <c r="Q33" s="35"/>
      <c r="R33" s="35"/>
      <c r="S33" s="39"/>
      <c r="T33"/>
      <c r="U33" s="39"/>
      <c r="V33"/>
      <c r="W33" s="24"/>
      <c r="X33"/>
      <c r="Y33" s="28"/>
      <c r="Z33" s="7"/>
      <c r="AA33" s="35"/>
      <c r="AB33" s="39"/>
      <c r="AC33"/>
      <c r="AD33" s="39"/>
      <c r="AE33" s="7"/>
      <c r="AF33" s="24"/>
      <c r="AG33" s="35"/>
      <c r="AH33" s="28"/>
      <c r="AI33"/>
      <c r="BO33">
        <f>AVERAGE(BO6:BO32)</f>
        <v>5.5925925925925926</v>
      </c>
    </row>
    <row r="34" spans="5:67" ht="13.25" customHeight="1" thickBot="1" x14ac:dyDescent="0.5">
      <c r="E34" s="7"/>
      <c r="F34" s="35"/>
      <c r="G34" s="24"/>
      <c r="H34" s="28"/>
      <c r="I34" s="39"/>
      <c r="J34" s="24"/>
      <c r="K34"/>
      <c r="L34" s="28"/>
      <c r="M34" s="24"/>
      <c r="N34" s="39"/>
      <c r="O34"/>
      <c r="P34" s="7"/>
      <c r="Q34" s="35"/>
      <c r="R34" s="35"/>
      <c r="S34" s="39"/>
      <c r="T34"/>
      <c r="U34" s="39"/>
      <c r="V34"/>
      <c r="W34" s="24"/>
      <c r="X34"/>
      <c r="Y34" s="28"/>
      <c r="Z34" s="7"/>
      <c r="AA34" s="35"/>
      <c r="AB34" s="39"/>
      <c r="AC34"/>
      <c r="AD34" s="39"/>
      <c r="AE34" s="7"/>
      <c r="AF34" s="24"/>
      <c r="AG34" s="35"/>
      <c r="AH34" s="28"/>
      <c r="AI34"/>
      <c r="BO34">
        <f t="shared" ref="BO34" si="32">BO33*100</f>
        <v>559.25925925925924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FC26-A076-4CD2-810F-4F4A63BEC89F}">
  <dimension ref="A2:B30"/>
  <sheetViews>
    <sheetView tabSelected="1" workbookViewId="0">
      <selection activeCell="A2" sqref="A2:B29"/>
    </sheetView>
  </sheetViews>
  <sheetFormatPr baseColWidth="10" defaultRowHeight="14.25" x14ac:dyDescent="0.45"/>
  <cols>
    <col min="1" max="1" width="28.53125" customWidth="1"/>
  </cols>
  <sheetData>
    <row r="2" spans="1:2" x14ac:dyDescent="0.45">
      <c r="A2" t="str">
        <f>Feuil1!B5</f>
        <v>ACCAR Roger</v>
      </c>
      <c r="B2">
        <v>3</v>
      </c>
    </row>
    <row r="3" spans="1:2" x14ac:dyDescent="0.45">
      <c r="A3" t="str">
        <f>Feuil1!B6</f>
        <v>ADO Oihan</v>
      </c>
      <c r="B3">
        <v>9</v>
      </c>
    </row>
    <row r="4" spans="1:2" x14ac:dyDescent="0.45">
      <c r="A4" t="str">
        <f>Feuil1!B7</f>
        <v>ALAUZET Mathis</v>
      </c>
      <c r="B4">
        <v>5</v>
      </c>
    </row>
    <row r="5" spans="1:2" x14ac:dyDescent="0.45">
      <c r="A5" t="str">
        <f>Feuil1!B8</f>
        <v>ARSLANE Djibril</v>
      </c>
      <c r="B5">
        <f>Feuil1!BO8</f>
        <v>3</v>
      </c>
    </row>
    <row r="6" spans="1:2" x14ac:dyDescent="0.45">
      <c r="A6" t="str">
        <f>Feuil1!B9</f>
        <v>BENGOUA Solaymane</v>
      </c>
      <c r="B6">
        <f>Feuil1!BO9</f>
        <v>6</v>
      </c>
    </row>
    <row r="7" spans="1:2" x14ac:dyDescent="0.45">
      <c r="A7" t="str">
        <f>Feuil1!B10</f>
        <v>BILINGBI MAX Pierre Bradley</v>
      </c>
      <c r="B7">
        <v>9</v>
      </c>
    </row>
    <row r="8" spans="1:2" x14ac:dyDescent="0.45">
      <c r="A8" t="str">
        <f>Feuil1!B11</f>
        <v>BONVALET icolas</v>
      </c>
      <c r="B8">
        <f>Feuil1!BO11</f>
        <v>10</v>
      </c>
    </row>
    <row r="9" spans="1:2" x14ac:dyDescent="0.45">
      <c r="A9" t="str">
        <f>Feuil1!B12</f>
        <v>BRENEK Ethan</v>
      </c>
      <c r="B9">
        <v>6</v>
      </c>
    </row>
    <row r="10" spans="1:2" x14ac:dyDescent="0.45">
      <c r="A10" t="str">
        <f>Feuil1!B13</f>
        <v>CHABAUD Nathaniel</v>
      </c>
      <c r="B10">
        <v>6</v>
      </c>
    </row>
    <row r="11" spans="1:2" x14ac:dyDescent="0.45">
      <c r="A11" t="str">
        <f>Feuil1!B14</f>
        <v>COMBES Sinclair</v>
      </c>
      <c r="B11">
        <v>2</v>
      </c>
    </row>
    <row r="12" spans="1:2" x14ac:dyDescent="0.45">
      <c r="A12" t="str">
        <f>Feuil1!B15</f>
        <v>EL BOUKHARI Khayfallah</v>
      </c>
      <c r="B12">
        <f>Feuil1!BO15</f>
        <v>4.5</v>
      </c>
    </row>
    <row r="13" spans="1:2" x14ac:dyDescent="0.45">
      <c r="A13" t="str">
        <f>Feuil1!B16</f>
        <v>ELEB Mark</v>
      </c>
      <c r="B13">
        <f>Feuil1!BO16</f>
        <v>6.5</v>
      </c>
    </row>
    <row r="14" spans="1:2" x14ac:dyDescent="0.45">
      <c r="A14" t="str">
        <f>Feuil1!B17</f>
        <v>FACCINI Adrien</v>
      </c>
      <c r="B14">
        <f>Feuil1!BO17</f>
        <v>5</v>
      </c>
    </row>
    <row r="15" spans="1:2" x14ac:dyDescent="0.45">
      <c r="A15" t="str">
        <f>Feuil1!B18</f>
        <v>FOURCADE Piere</v>
      </c>
      <c r="B15">
        <v>9</v>
      </c>
    </row>
    <row r="16" spans="1:2" x14ac:dyDescent="0.45">
      <c r="A16" t="str">
        <f>Feuil1!B19</f>
        <v>GIROUD Quentin</v>
      </c>
      <c r="B16">
        <f>Feuil1!BO19</f>
        <v>6</v>
      </c>
    </row>
    <row r="17" spans="1:2" x14ac:dyDescent="0.45">
      <c r="A17" t="str">
        <f>Feuil1!B20</f>
        <v>JABELKHAYR Hatim</v>
      </c>
      <c r="B17">
        <f>Feuil1!BO20</f>
        <v>4</v>
      </c>
    </row>
    <row r="18" spans="1:2" x14ac:dyDescent="0.45">
      <c r="A18" t="str">
        <f>Feuil1!B21</f>
        <v>JOUE--CREITER Lukas</v>
      </c>
      <c r="B18">
        <f>Feuil1!BO21</f>
        <v>5.5</v>
      </c>
    </row>
    <row r="19" spans="1:2" x14ac:dyDescent="0.45">
      <c r="A19" t="str">
        <f>Feuil1!B22</f>
        <v>JUDE Stephan</v>
      </c>
      <c r="B19">
        <f>Feuil1!BO22</f>
        <v>3.5</v>
      </c>
    </row>
    <row r="20" spans="1:2" x14ac:dyDescent="0.45">
      <c r="A20" t="str">
        <f>Feuil1!B23</f>
        <v>KADRI Elias</v>
      </c>
      <c r="B20">
        <v>2</v>
      </c>
    </row>
    <row r="21" spans="1:2" x14ac:dyDescent="0.45">
      <c r="A21" t="str">
        <f>Feuil1!B24</f>
        <v>KHADIRI Abd el Ali</v>
      </c>
      <c r="B21">
        <f>Feuil1!BO24</f>
        <v>4</v>
      </c>
    </row>
    <row r="22" spans="1:2" x14ac:dyDescent="0.45">
      <c r="A22" t="str">
        <f>Feuil1!B25</f>
        <v>MAZABRAUD</v>
      </c>
      <c r="B22">
        <f>Feuil1!BO25</f>
        <v>6.5</v>
      </c>
    </row>
    <row r="23" spans="1:2" x14ac:dyDescent="0.45">
      <c r="A23" t="str">
        <f>Feuil1!B26</f>
        <v>MORAGLIA Lowan</v>
      </c>
      <c r="B23">
        <f>Feuil1!BO26</f>
        <v>9</v>
      </c>
    </row>
    <row r="24" spans="1:2" x14ac:dyDescent="0.45">
      <c r="A24" t="str">
        <f>Feuil1!B27</f>
        <v>MOREAU Jean</v>
      </c>
      <c r="B24">
        <f>Feuil1!BO27</f>
        <v>3</v>
      </c>
    </row>
    <row r="25" spans="1:2" x14ac:dyDescent="0.45">
      <c r="A25" t="str">
        <f>Feuil1!B28</f>
        <v>NGUEDAM Kiara</v>
      </c>
      <c r="B25">
        <f>Feuil1!BO28</f>
        <v>8</v>
      </c>
    </row>
    <row r="26" spans="1:2" x14ac:dyDescent="0.45">
      <c r="A26" t="str">
        <f>Feuil1!B29</f>
        <v>RIBEIRO Diala</v>
      </c>
      <c r="B26">
        <f>Feuil1!BO29</f>
        <v>5</v>
      </c>
    </row>
    <row r="27" spans="1:2" x14ac:dyDescent="0.45">
      <c r="A27" t="str">
        <f>Feuil1!B30</f>
        <v>RODRIGUES Leandro</v>
      </c>
      <c r="B27">
        <v>4</v>
      </c>
    </row>
    <row r="28" spans="1:2" x14ac:dyDescent="0.45">
      <c r="A28" t="str">
        <f>Feuil1!B31</f>
        <v>SEGUY Axel</v>
      </c>
      <c r="B28">
        <f>Feuil1!BO31</f>
        <v>5</v>
      </c>
    </row>
    <row r="29" spans="1:2" x14ac:dyDescent="0.45">
      <c r="A29" t="str">
        <f>Feuil1!B32</f>
        <v>TRESMONTAN Jordan</v>
      </c>
      <c r="B29">
        <f>Feuil1!BO32</f>
        <v>9</v>
      </c>
    </row>
    <row r="30" spans="1:2" x14ac:dyDescent="0.45">
      <c r="A30">
        <f>Feuil1!B33</f>
        <v>0</v>
      </c>
      <c r="B30">
        <f>AVERAGE(B2:B29)</f>
        <v>5.6607142857142856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2026-03-22T18:35:05Z</dcterms:created>
  <dcterms:modified xsi:type="dcterms:W3CDTF">2026-05-03T17:35:22Z</dcterms:modified>
</cp:coreProperties>
</file>