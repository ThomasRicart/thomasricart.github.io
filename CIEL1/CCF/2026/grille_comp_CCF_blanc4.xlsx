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\CCF\2026\"/>
    </mc:Choice>
  </mc:AlternateContent>
  <xr:revisionPtr revIDLastSave="0" documentId="13_ncr:1_{CB946973-04D6-42E3-952A-598C79373C52}" xr6:coauthVersionLast="47" xr6:coauthVersionMax="47" xr10:uidLastSave="{00000000-0000-0000-0000-000000000000}"/>
  <bookViews>
    <workbookView xWindow="10718" yWindow="0" windowWidth="10965" windowHeight="12863" xr2:uid="{5323A597-3EF7-45E9-BE64-C65DC6E6C1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BF5" i="1"/>
  <c r="BE5" i="1"/>
  <c r="BD5" i="1"/>
  <c r="BC5" i="1"/>
  <c r="BB5" i="1"/>
  <c r="BA5" i="1"/>
  <c r="BH5" i="1" s="1"/>
  <c r="AI29" i="1"/>
  <c r="AH29" i="1"/>
  <c r="AG29" i="1"/>
  <c r="AF29" i="1"/>
  <c r="AE29" i="1"/>
  <c r="AD29" i="1"/>
  <c r="AI28" i="1"/>
  <c r="AH28" i="1"/>
  <c r="AG28" i="1"/>
  <c r="AF28" i="1"/>
  <c r="AE28" i="1"/>
  <c r="AD28" i="1"/>
  <c r="AI27" i="1"/>
  <c r="AH27" i="1"/>
  <c r="AG27" i="1"/>
  <c r="AF27" i="1"/>
  <c r="AE27" i="1"/>
  <c r="AD27" i="1"/>
  <c r="AI26" i="1"/>
  <c r="AH26" i="1"/>
  <c r="AG26" i="1"/>
  <c r="AF26" i="1"/>
  <c r="AE26" i="1"/>
  <c r="AD26" i="1"/>
  <c r="AI24" i="1"/>
  <c r="AH24" i="1"/>
  <c r="AG24" i="1"/>
  <c r="AF24" i="1"/>
  <c r="AE24" i="1"/>
  <c r="AD24" i="1"/>
  <c r="AI23" i="1"/>
  <c r="AH23" i="1"/>
  <c r="AG23" i="1"/>
  <c r="AF23" i="1"/>
  <c r="AE23" i="1"/>
  <c r="AD23" i="1"/>
  <c r="AI22" i="1"/>
  <c r="AH22" i="1"/>
  <c r="AG22" i="1"/>
  <c r="AF22" i="1"/>
  <c r="AE22" i="1"/>
  <c r="AD22" i="1"/>
  <c r="AI21" i="1"/>
  <c r="AH21" i="1"/>
  <c r="AG21" i="1"/>
  <c r="AF21" i="1"/>
  <c r="AE21" i="1"/>
  <c r="AD21" i="1"/>
  <c r="AI19" i="1"/>
  <c r="AH19" i="1"/>
  <c r="AG19" i="1"/>
  <c r="AF19" i="1"/>
  <c r="AE19" i="1"/>
  <c r="AD19" i="1"/>
  <c r="AI18" i="1"/>
  <c r="AH18" i="1"/>
  <c r="AG18" i="1"/>
  <c r="AF18" i="1"/>
  <c r="AE18" i="1"/>
  <c r="AD18" i="1"/>
  <c r="AI17" i="1"/>
  <c r="AH17" i="1"/>
  <c r="AG17" i="1"/>
  <c r="AF17" i="1"/>
  <c r="AE17" i="1"/>
  <c r="AD17" i="1"/>
  <c r="AI15" i="1"/>
  <c r="AH15" i="1"/>
  <c r="AG15" i="1"/>
  <c r="AF15" i="1"/>
  <c r="AE15" i="1"/>
  <c r="AD15" i="1"/>
  <c r="AI14" i="1"/>
  <c r="AH14" i="1"/>
  <c r="AG14" i="1"/>
  <c r="AF14" i="1"/>
  <c r="AE14" i="1"/>
  <c r="AD14" i="1"/>
  <c r="AI13" i="1"/>
  <c r="AH13" i="1"/>
  <c r="AG13" i="1"/>
  <c r="AF13" i="1"/>
  <c r="AE13" i="1"/>
  <c r="AD13" i="1"/>
  <c r="AI12" i="1"/>
  <c r="AH12" i="1"/>
  <c r="AG12" i="1"/>
  <c r="AF12" i="1"/>
  <c r="AE12" i="1"/>
  <c r="AD12" i="1"/>
  <c r="AI11" i="1"/>
  <c r="AH11" i="1"/>
  <c r="AG11" i="1"/>
  <c r="AF11" i="1"/>
  <c r="AE11" i="1"/>
  <c r="AD11" i="1"/>
  <c r="AI10" i="1"/>
  <c r="AH10" i="1"/>
  <c r="AG10" i="1"/>
  <c r="AF10" i="1"/>
  <c r="AE10" i="1"/>
  <c r="AD10" i="1"/>
  <c r="AI9" i="1"/>
  <c r="AH9" i="1"/>
  <c r="AG9" i="1"/>
  <c r="AF9" i="1"/>
  <c r="AE9" i="1"/>
  <c r="AD9" i="1"/>
  <c r="AI8" i="1"/>
  <c r="AH8" i="1"/>
  <c r="AG8" i="1"/>
  <c r="AF8" i="1"/>
  <c r="AE8" i="1"/>
  <c r="AD8" i="1"/>
  <c r="AI7" i="1"/>
  <c r="AH7" i="1"/>
  <c r="AG7" i="1"/>
  <c r="AF7" i="1"/>
  <c r="AE7" i="1"/>
  <c r="AD7" i="1"/>
  <c r="AI5" i="1"/>
  <c r="AH5" i="1"/>
  <c r="AG5" i="1"/>
  <c r="AF5" i="1"/>
  <c r="AE5" i="1"/>
  <c r="AD5" i="1"/>
  <c r="A6" i="1"/>
  <c r="AW2" i="1"/>
  <c r="AV2" i="1"/>
  <c r="AU2" i="1"/>
  <c r="AT2" i="1"/>
  <c r="AS2" i="1"/>
  <c r="AR2" i="1"/>
  <c r="AI3" i="1"/>
  <c r="AH3" i="1"/>
  <c r="AG3" i="1"/>
  <c r="AF3" i="1"/>
  <c r="AE3" i="1"/>
  <c r="AD3" i="1"/>
  <c r="AL15" i="1" l="1"/>
  <c r="AS15" i="1" s="1"/>
  <c r="BB15" i="1" s="1"/>
  <c r="AN17" i="1"/>
  <c r="AU17" i="1" s="1"/>
  <c r="BD17" i="1" s="1"/>
  <c r="AK28" i="1"/>
  <c r="AR28" i="1" s="1"/>
  <c r="BA28" i="1" s="1"/>
  <c r="AM19" i="1"/>
  <c r="AT19" i="1" s="1"/>
  <c r="BC19" i="1" s="1"/>
  <c r="AM22" i="1"/>
  <c r="AT22" i="1" s="1"/>
  <c r="BC22" i="1" s="1"/>
  <c r="AN19" i="1"/>
  <c r="AU19" i="1" s="1"/>
  <c r="BD19" i="1" s="1"/>
  <c r="AP22" i="1"/>
  <c r="AW22" i="1" s="1"/>
  <c r="BF22" i="1" s="1"/>
  <c r="AN28" i="1"/>
  <c r="AU28" i="1" s="1"/>
  <c r="BD28" i="1" s="1"/>
  <c r="AN11" i="1"/>
  <c r="AU11" i="1" s="1"/>
  <c r="BD11" i="1" s="1"/>
  <c r="AK9" i="1"/>
  <c r="AR9" i="1" s="1"/>
  <c r="BA9" i="1" s="1"/>
  <c r="AP11" i="1"/>
  <c r="AW11" i="1" s="1"/>
  <c r="BF11" i="1" s="1"/>
  <c r="AP18" i="1"/>
  <c r="AW18" i="1" s="1"/>
  <c r="BF18" i="1" s="1"/>
  <c r="AN12" i="1"/>
  <c r="AU12" i="1" s="1"/>
  <c r="BD12" i="1" s="1"/>
  <c r="AL14" i="1"/>
  <c r="AS14" i="1" s="1"/>
  <c r="BB14" i="1" s="1"/>
  <c r="AN22" i="1"/>
  <c r="AU22" i="1" s="1"/>
  <c r="BD22" i="1" s="1"/>
  <c r="AP27" i="1"/>
  <c r="AW27" i="1" s="1"/>
  <c r="BF27" i="1" s="1"/>
  <c r="AN14" i="1"/>
  <c r="AU14" i="1" s="1"/>
  <c r="BD14" i="1" s="1"/>
  <c r="AO27" i="1"/>
  <c r="AV27" i="1" s="1"/>
  <c r="BE27" i="1" s="1"/>
  <c r="AO18" i="1"/>
  <c r="AV18" i="1" s="1"/>
  <c r="BE18" i="1" s="1"/>
  <c r="AP10" i="1"/>
  <c r="AW10" i="1" s="1"/>
  <c r="BF10" i="1" s="1"/>
  <c r="AO22" i="1"/>
  <c r="AV22" i="1" s="1"/>
  <c r="BE22" i="1" s="1"/>
  <c r="AO14" i="1"/>
  <c r="AV14" i="1" s="1"/>
  <c r="BE14" i="1" s="1"/>
  <c r="AK5" i="1"/>
  <c r="AR5" i="1" s="1"/>
  <c r="AK11" i="1"/>
  <c r="AR11" i="1" s="1"/>
  <c r="BA11" i="1" s="1"/>
  <c r="AO11" i="1"/>
  <c r="AV11" i="1" s="1"/>
  <c r="BE11" i="1" s="1"/>
  <c r="AK14" i="1"/>
  <c r="AR14" i="1" s="1"/>
  <c r="BA14" i="1" s="1"/>
  <c r="AP14" i="1"/>
  <c r="AW14" i="1" s="1"/>
  <c r="BF14" i="1" s="1"/>
  <c r="AL19" i="1"/>
  <c r="AS19" i="1" s="1"/>
  <c r="BB19" i="1" s="1"/>
  <c r="AL11" i="1"/>
  <c r="AS11" i="1" s="1"/>
  <c r="BB11" i="1" s="1"/>
  <c r="AM11" i="1"/>
  <c r="AT11" i="1" s="1"/>
  <c r="BC11" i="1" s="1"/>
  <c r="AM9" i="1"/>
  <c r="AT9" i="1" s="1"/>
  <c r="BC9" i="1" s="1"/>
  <c r="AK7" i="1"/>
  <c r="AR7" i="1" s="1"/>
  <c r="BA7" i="1" s="1"/>
  <c r="AO9" i="1"/>
  <c r="AV9" i="1" s="1"/>
  <c r="BE9" i="1" s="1"/>
  <c r="AM23" i="1"/>
  <c r="AT23" i="1" s="1"/>
  <c r="BC23" i="1" s="1"/>
  <c r="AK26" i="1"/>
  <c r="AR26" i="1" s="1"/>
  <c r="BA26" i="1" s="1"/>
  <c r="AO28" i="1"/>
  <c r="AV28" i="1" s="1"/>
  <c r="BE28" i="1" s="1"/>
  <c r="AP9" i="1"/>
  <c r="AW9" i="1" s="1"/>
  <c r="BF9" i="1" s="1"/>
  <c r="AP28" i="1"/>
  <c r="AW28" i="1" s="1"/>
  <c r="BF28" i="1" s="1"/>
  <c r="AM7" i="1"/>
  <c r="AT7" i="1" s="1"/>
  <c r="BC7" i="1" s="1"/>
  <c r="AK21" i="1"/>
  <c r="AR21" i="1" s="1"/>
  <c r="BA21" i="1" s="1"/>
  <c r="AO23" i="1"/>
  <c r="AV23" i="1" s="1"/>
  <c r="BE23" i="1" s="1"/>
  <c r="AN7" i="1"/>
  <c r="AU7" i="1" s="1"/>
  <c r="BD7" i="1" s="1"/>
  <c r="AP23" i="1"/>
  <c r="AW23" i="1" s="1"/>
  <c r="BF23" i="1" s="1"/>
  <c r="AN26" i="1"/>
  <c r="AU26" i="1" s="1"/>
  <c r="BD26" i="1" s="1"/>
  <c r="AM14" i="1"/>
  <c r="AT14" i="1" s="1"/>
  <c r="BC14" i="1" s="1"/>
  <c r="AL9" i="1"/>
  <c r="AS9" i="1" s="1"/>
  <c r="BB9" i="1" s="1"/>
  <c r="AN9" i="1"/>
  <c r="AU9" i="1" s="1"/>
  <c r="BD9" i="1" s="1"/>
  <c r="AL7" i="1"/>
  <c r="AS7" i="1" s="1"/>
  <c r="BB7" i="1" s="1"/>
  <c r="AK15" i="1"/>
  <c r="AR15" i="1" s="1"/>
  <c r="BA15" i="1" s="1"/>
  <c r="AN23" i="1"/>
  <c r="AU23" i="1" s="1"/>
  <c r="BD23" i="1" s="1"/>
  <c r="AL26" i="1"/>
  <c r="AS26" i="1" s="1"/>
  <c r="BB26" i="1" s="1"/>
  <c r="AM26" i="1"/>
  <c r="AT26" i="1" s="1"/>
  <c r="BC26" i="1" s="1"/>
  <c r="AO7" i="1"/>
  <c r="AV7" i="1" s="1"/>
  <c r="BE7" i="1" s="1"/>
  <c r="AK24" i="1"/>
  <c r="AR24" i="1" s="1"/>
  <c r="BA24" i="1" s="1"/>
  <c r="AK29" i="1"/>
  <c r="AR29" i="1" s="1"/>
  <c r="AN5" i="1"/>
  <c r="AU5" i="1" s="1"/>
  <c r="AL5" i="1"/>
  <c r="AS5" i="1" s="1"/>
  <c r="AP7" i="1"/>
  <c r="AW7" i="1" s="1"/>
  <c r="BF7" i="1" s="1"/>
  <c r="AM10" i="1"/>
  <c r="AT10" i="1" s="1"/>
  <c r="BC10" i="1" s="1"/>
  <c r="AM17" i="1"/>
  <c r="AT17" i="1" s="1"/>
  <c r="BC17" i="1" s="1"/>
  <c r="AL24" i="1"/>
  <c r="AS24" i="1" s="1"/>
  <c r="BB24" i="1" s="1"/>
  <c r="AL29" i="1"/>
  <c r="AS29" i="1" s="1"/>
  <c r="AO5" i="1"/>
  <c r="AV5" i="1" s="1"/>
  <c r="AM5" i="1"/>
  <c r="AT5" i="1" s="1"/>
  <c r="AK27" i="1"/>
  <c r="AR27" i="1" s="1"/>
  <c r="BA27" i="1" s="1"/>
  <c r="AM29" i="1"/>
  <c r="AT29" i="1" s="1"/>
  <c r="AP5" i="1"/>
  <c r="AW5" i="1" s="1"/>
  <c r="AN13" i="1"/>
  <c r="AU13" i="1" s="1"/>
  <c r="BD13" i="1" s="1"/>
  <c r="AK18" i="1"/>
  <c r="AR18" i="1" s="1"/>
  <c r="BA18" i="1" s="1"/>
  <c r="AP21" i="1"/>
  <c r="AW21" i="1" s="1"/>
  <c r="BF21" i="1" s="1"/>
  <c r="AL27" i="1"/>
  <c r="AS27" i="1" s="1"/>
  <c r="BB27" i="1" s="1"/>
  <c r="AY2" i="1"/>
  <c r="AM15" i="1"/>
  <c r="AT15" i="1" s="1"/>
  <c r="BC15" i="1" s="1"/>
  <c r="AK22" i="1"/>
  <c r="AR22" i="1" s="1"/>
  <c r="BA22" i="1" s="1"/>
  <c r="AM27" i="1"/>
  <c r="AT27" i="1" s="1"/>
  <c r="BC27" i="1" s="1"/>
  <c r="AP13" i="1"/>
  <c r="AW13" i="1" s="1"/>
  <c r="BF13" i="1" s="1"/>
  <c r="AL22" i="1"/>
  <c r="AS22" i="1" s="1"/>
  <c r="BB22" i="1" s="1"/>
  <c r="BH22" i="1" s="1"/>
  <c r="AN27" i="1"/>
  <c r="AU27" i="1" s="1"/>
  <c r="BD27" i="1" s="1"/>
  <c r="AK8" i="1"/>
  <c r="AR8" i="1" s="1"/>
  <c r="BA8" i="1" s="1"/>
  <c r="AK10" i="1"/>
  <c r="AR10" i="1" s="1"/>
  <c r="BA10" i="1" s="1"/>
  <c r="AL12" i="1"/>
  <c r="AS12" i="1" s="1"/>
  <c r="BB12" i="1" s="1"/>
  <c r="AM13" i="1"/>
  <c r="AT13" i="1" s="1"/>
  <c r="BC13" i="1" s="1"/>
  <c r="AN18" i="1"/>
  <c r="AU18" i="1" s="1"/>
  <c r="BD18" i="1" s="1"/>
  <c r="AN21" i="1"/>
  <c r="AU21" i="1" s="1"/>
  <c r="BD21" i="1" s="1"/>
  <c r="AM24" i="1"/>
  <c r="AT24" i="1" s="1"/>
  <c r="BC24" i="1" s="1"/>
  <c r="AO26" i="1"/>
  <c r="AV26" i="1" s="1"/>
  <c r="BE26" i="1" s="1"/>
  <c r="AK12" i="1"/>
  <c r="AR12" i="1" s="1"/>
  <c r="BA12" i="1" s="1"/>
  <c r="AL13" i="1"/>
  <c r="AS13" i="1" s="1"/>
  <c r="BB13" i="1" s="1"/>
  <c r="AM18" i="1"/>
  <c r="AT18" i="1" s="1"/>
  <c r="BC18" i="1" s="1"/>
  <c r="AM21" i="1"/>
  <c r="AT21" i="1" s="1"/>
  <c r="BC21" i="1" s="1"/>
  <c r="AL8" i="1"/>
  <c r="AS8" i="1" s="1"/>
  <c r="BB8" i="1" s="1"/>
  <c r="AL10" i="1"/>
  <c r="AS10" i="1" s="1"/>
  <c r="BB10" i="1" s="1"/>
  <c r="AM12" i="1"/>
  <c r="AT12" i="1" s="1"/>
  <c r="BC12" i="1" s="1"/>
  <c r="AK17" i="1"/>
  <c r="AR17" i="1" s="1"/>
  <c r="BA17" i="1" s="1"/>
  <c r="AK19" i="1"/>
  <c r="AR19" i="1" s="1"/>
  <c r="BA19" i="1" s="1"/>
  <c r="AO21" i="1"/>
  <c r="AV21" i="1" s="1"/>
  <c r="BE21" i="1" s="1"/>
  <c r="AN24" i="1"/>
  <c r="AU24" i="1" s="1"/>
  <c r="BD24" i="1" s="1"/>
  <c r="AP26" i="1"/>
  <c r="AW26" i="1" s="1"/>
  <c r="BF26" i="1" s="1"/>
  <c r="AN29" i="1"/>
  <c r="AU29" i="1" s="1"/>
  <c r="AK13" i="1"/>
  <c r="AR13" i="1" s="1"/>
  <c r="BA13" i="1" s="1"/>
  <c r="AL18" i="1"/>
  <c r="AS18" i="1" s="1"/>
  <c r="BB18" i="1" s="1"/>
  <c r="AL21" i="1"/>
  <c r="AS21" i="1" s="1"/>
  <c r="BB21" i="1" s="1"/>
  <c r="AM8" i="1"/>
  <c r="AT8" i="1" s="1"/>
  <c r="BC8" i="1" s="1"/>
  <c r="AO13" i="1"/>
  <c r="AV13" i="1" s="1"/>
  <c r="BE13" i="1" s="1"/>
  <c r="AL17" i="1"/>
  <c r="AS17" i="1" s="1"/>
  <c r="BB17" i="1" s="1"/>
  <c r="AO24" i="1"/>
  <c r="AV24" i="1" s="1"/>
  <c r="BE24" i="1" s="1"/>
  <c r="AO29" i="1"/>
  <c r="AV29" i="1" s="1"/>
  <c r="AN8" i="1"/>
  <c r="AU8" i="1" s="1"/>
  <c r="BD8" i="1" s="1"/>
  <c r="AN10" i="1"/>
  <c r="AU10" i="1" s="1"/>
  <c r="BD10" i="1" s="1"/>
  <c r="AO12" i="1"/>
  <c r="AV12" i="1" s="1"/>
  <c r="BE12" i="1" s="1"/>
  <c r="AN15" i="1"/>
  <c r="AU15" i="1" s="1"/>
  <c r="BD15" i="1" s="1"/>
  <c r="AP24" i="1"/>
  <c r="AW24" i="1" s="1"/>
  <c r="BF24" i="1" s="1"/>
  <c r="AP29" i="1"/>
  <c r="AW29" i="1" s="1"/>
  <c r="AO8" i="1"/>
  <c r="AV8" i="1" s="1"/>
  <c r="BE8" i="1" s="1"/>
  <c r="AO10" i="1"/>
  <c r="AV10" i="1" s="1"/>
  <c r="BE10" i="1" s="1"/>
  <c r="AP12" i="1"/>
  <c r="AW12" i="1" s="1"/>
  <c r="BF12" i="1" s="1"/>
  <c r="AO15" i="1"/>
  <c r="AV15" i="1" s="1"/>
  <c r="BE15" i="1" s="1"/>
  <c r="AL28" i="1"/>
  <c r="AS28" i="1" s="1"/>
  <c r="BB28" i="1" s="1"/>
  <c r="AP8" i="1"/>
  <c r="AW8" i="1" s="1"/>
  <c r="BF8" i="1" s="1"/>
  <c r="AP15" i="1"/>
  <c r="AW15" i="1" s="1"/>
  <c r="BF15" i="1" s="1"/>
  <c r="AO17" i="1"/>
  <c r="AV17" i="1" s="1"/>
  <c r="BE17" i="1" s="1"/>
  <c r="AO19" i="1"/>
  <c r="AV19" i="1" s="1"/>
  <c r="BE19" i="1" s="1"/>
  <c r="AK23" i="1"/>
  <c r="AR23" i="1" s="1"/>
  <c r="BA23" i="1" s="1"/>
  <c r="AM28" i="1"/>
  <c r="AT28" i="1" s="1"/>
  <c r="BC28" i="1" s="1"/>
  <c r="AP17" i="1"/>
  <c r="AW17" i="1" s="1"/>
  <c r="BF17" i="1" s="1"/>
  <c r="AP19" i="1"/>
  <c r="AW19" i="1" s="1"/>
  <c r="BF19" i="1" s="1"/>
  <c r="AL23" i="1"/>
  <c r="AS23" i="1" s="1"/>
  <c r="BB23" i="1" s="1"/>
  <c r="BH26" i="1" l="1"/>
  <c r="BH18" i="1"/>
  <c r="BH14" i="1"/>
  <c r="BH11" i="1"/>
  <c r="BH19" i="1"/>
  <c r="BH27" i="1"/>
  <c r="BH28" i="1"/>
  <c r="BH24" i="1"/>
  <c r="BH23" i="1"/>
  <c r="BH21" i="1"/>
  <c r="BH17" i="1"/>
  <c r="BH15" i="1"/>
  <c r="BH13" i="1"/>
  <c r="BH12" i="1"/>
  <c r="BH10" i="1"/>
  <c r="BH9" i="1"/>
  <c r="BH8" i="1"/>
  <c r="BH7" i="1"/>
  <c r="AU31" i="1"/>
  <c r="AU32" i="1" s="1"/>
  <c r="AU33" i="1" s="1"/>
  <c r="AT31" i="1"/>
  <c r="AT32" i="1" s="1"/>
  <c r="AT33" i="1" s="1"/>
  <c r="AV31" i="1"/>
  <c r="AV32" i="1" s="1"/>
  <c r="AV33" i="1" s="1"/>
  <c r="AW31" i="1"/>
  <c r="AW32" i="1" s="1"/>
  <c r="AW33" i="1" s="1"/>
  <c r="AR31" i="1"/>
  <c r="AR32" i="1" s="1"/>
  <c r="AR33" i="1" s="1"/>
  <c r="AY21" i="1"/>
  <c r="AY5" i="1"/>
  <c r="AS31" i="1"/>
  <c r="AS32" i="1" s="1"/>
  <c r="AS33" i="1" s="1"/>
  <c r="AY11" i="1"/>
  <c r="AY15" i="1"/>
  <c r="AY9" i="1"/>
  <c r="AY14" i="1"/>
  <c r="AY7" i="1"/>
  <c r="AY27" i="1"/>
  <c r="AY29" i="1"/>
  <c r="AY28" i="1"/>
  <c r="AY18" i="1"/>
  <c r="AY10" i="1"/>
  <c r="AY12" i="1"/>
  <c r="AY22" i="1"/>
  <c r="AY26" i="1"/>
  <c r="AY23" i="1"/>
  <c r="AY24" i="1"/>
  <c r="AY19" i="1"/>
  <c r="AY17" i="1"/>
  <c r="AY13" i="1"/>
  <c r="AY8" i="1"/>
  <c r="BH31" i="1" l="1"/>
  <c r="BH32" i="1" s="1"/>
  <c r="BH33" i="1" s="1"/>
  <c r="AY31" i="1"/>
  <c r="AY32" i="1" s="1"/>
  <c r="AY33" i="1" s="1"/>
</calcChain>
</file>

<file path=xl/sharedStrings.xml><?xml version="1.0" encoding="utf-8"?>
<sst xmlns="http://schemas.openxmlformats.org/spreadsheetml/2006/main" count="121" uniqueCount="55">
  <si>
    <t>ABOULOUAFA EL IDRISSI Mohamed</t>
  </si>
  <si>
    <t>AMARO FARIA Hugo</t>
  </si>
  <si>
    <t>ASSAD Yanis</t>
  </si>
  <si>
    <t>AUDIGÉ Alexis</t>
  </si>
  <si>
    <t>BAH EL KHAOUADI Yassin</t>
  </si>
  <si>
    <t>BENGOUA Solaymane</t>
  </si>
  <si>
    <t>BITGA Henri</t>
  </si>
  <si>
    <t>CONAN Eliza</t>
  </si>
  <si>
    <t>DUPOUY--VERONS Adrien</t>
  </si>
  <si>
    <t>FAULA Josué</t>
  </si>
  <si>
    <t>FERNANDEZ Enzo</t>
  </si>
  <si>
    <t>GANTIER Aurelien</t>
  </si>
  <si>
    <t>GOUMAS Nathanaël</t>
  </si>
  <si>
    <t>HAMON Lukas</t>
  </si>
  <si>
    <t>LASSERRE Kelyan</t>
  </si>
  <si>
    <t>LEROY Evan</t>
  </si>
  <si>
    <t>LUCAS Thibault</t>
  </si>
  <si>
    <t>MORANGE Malik Darvin</t>
  </si>
  <si>
    <t>MORCILLO Diego</t>
  </si>
  <si>
    <t>PIGASSOU Aurélien</t>
  </si>
  <si>
    <t>PIONNIÉ Tony</t>
  </si>
  <si>
    <t>SAULNIER Scott</t>
  </si>
  <si>
    <t>SE TCHIAO Tomy</t>
  </si>
  <si>
    <t>TONG Kelian</t>
  </si>
  <si>
    <t>TOURNIER Nicolas</t>
  </si>
  <si>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</si>
  <si>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</si>
  <si>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</si>
  <si>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</si>
  <si>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</si>
  <si>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</si>
  <si>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</si>
  <si>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</si>
  <si>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</si>
  <si>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</si>
  <si>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</si>
  <si>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</si>
  <si>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</si>
  <si>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</si>
  <si>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</si>
  <si>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</si>
  <si>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</si>
  <si>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</si>
  <si>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</si>
  <si>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</si>
  <si>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</si>
  <si>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</si>
  <si>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</si>
  <si>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</si>
  <si>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</si>
  <si>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</si>
  <si>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</si>
  <si>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</si>
  <si>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Chaque question / compétences</t>
  </si>
  <si>
    <t>est notée sur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</si>
</sst>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3" xfId="0" applyFill="1" applyBorder="1"/>
    <xf numFmtId="0" fontId="0" fillId="3" borderId="0" xfId="0" applyFill="1"/>
    <xf numFmtId="0" fontId="0" fillId="3" borderId="3" xfId="0" applyFill="1" applyBorder="1"/>
    <xf numFmtId="0" fontId="0" fillId="4" borderId="0" xfId="0" applyFill="1"/>
    <xf numFmtId="0" fontId="0" fillId="4" borderId="3" xfId="0" applyFill="1" applyBorder="1"/>
    <xf numFmtId="0" fontId="0" fillId="5" borderId="0" xfId="0" applyFill="1"/>
    <xf numFmtId="0" fontId="0" fillId="5" borderId="3" xfId="0" applyFill="1" applyBorder="1"/>
    <xf numFmtId="0" fontId="0" fillId="6" borderId="0" xfId="0" applyFill="1"/>
    <xf numFmtId="0" fontId="0" fillId="6" borderId="3" xfId="0" applyFill="1" applyBorder="1"/>
    <xf numFmtId="0" fontId="0" fillId="7" borderId="0" xfId="0" applyFill="1"/>
    <xf numFmtId="0" fontId="0" fillId="7" borderId="3" xfId="0" applyFill="1" applyBorder="1"/>
    <xf numFmtId="0" fontId="0" fillId="0" borderId="4" xfId="0" applyBorder="1" applyAlignment="1">
      <alignment horizontal="center" vertical="center"/>
    </xf>
    <xf numFmtId="0" fontId="0" fillId="2" borderId="8" xfId="0" applyFill="1" applyBorder="1"/>
    <xf numFmtId="0" fontId="0" fillId="4" borderId="8" xfId="0" applyFill="1" applyBorder="1"/>
    <xf numFmtId="0" fontId="0" fillId="6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7" borderId="8" xfId="0" applyFill="1" applyBorder="1"/>
    <xf numFmtId="0" fontId="0" fillId="3" borderId="5" xfId="0" applyFill="1" applyBorder="1"/>
    <xf numFmtId="0" fontId="0" fillId="0" borderId="1" xfId="0" applyBorder="1" applyAlignment="1">
      <alignment horizontal="center" vertical="center"/>
    </xf>
    <xf numFmtId="0" fontId="0" fillId="3" borderId="2" xfId="0" applyFill="1" applyBorder="1"/>
    <xf numFmtId="0" fontId="1" fillId="0" borderId="6" xfId="0" applyFont="1" applyBorder="1" applyAlignment="1">
      <alignment horizontal="center" vertical="center"/>
    </xf>
    <xf numFmtId="0" fontId="0" fillId="2" borderId="9" xfId="0" applyFill="1" applyBorder="1"/>
    <xf numFmtId="0" fontId="0" fillId="4" borderId="9" xfId="0" applyFill="1" applyBorder="1"/>
    <xf numFmtId="0" fontId="0" fillId="6" borderId="9" xfId="0" applyFill="1" applyBorder="1"/>
    <xf numFmtId="0" fontId="0" fillId="5" borderId="9" xfId="0" applyFill="1" applyBorder="1"/>
    <xf numFmtId="0" fontId="0" fillId="3" borderId="9" xfId="0" applyFill="1" applyBorder="1"/>
    <xf numFmtId="0" fontId="0" fillId="7" borderId="9" xfId="0" applyFill="1" applyBorder="1"/>
    <xf numFmtId="0" fontId="0" fillId="3" borderId="7" xfId="0" applyFill="1" applyBorder="1"/>
    <xf numFmtId="0" fontId="0" fillId="2" borderId="4" xfId="0" applyFill="1" applyBorder="1"/>
    <xf numFmtId="0" fontId="0" fillId="4" borderId="5" xfId="0" applyFill="1" applyBorder="1"/>
    <xf numFmtId="0" fontId="0" fillId="2" borderId="1" xfId="0" applyFill="1" applyBorder="1"/>
    <xf numFmtId="0" fontId="0" fillId="4" borderId="2" xfId="0" applyFill="1" applyBorder="1"/>
    <xf numFmtId="0" fontId="0" fillId="2" borderId="6" xfId="0" applyFill="1" applyBorder="1"/>
    <xf numFmtId="0" fontId="0" fillId="4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H33"/>
  <sheetViews>
    <sheetView tabSelected="1" zoomScaleNormal="100" workbookViewId="0">
      <pane xSplit="4" ySplit="4" topLeftCell="BH5" activePane="bottomRight" state="frozen"/>
      <selection pane="topRight" activeCell="E1" sqref="E1"/>
      <selection pane="bottomLeft" activeCell="A5" sqref="A5"/>
      <selection pane="bottomRight" activeCell="BK8" sqref="BK8"/>
    </sheetView>
  </sheetViews>
  <sheetFormatPr baseColWidth="10" defaultRowHeight="22.9" customHeight="1" thickBottom="1" x14ac:dyDescent="0.5"/>
  <cols>
    <col min="1" max="1" width="4.265625" customWidth="1"/>
    <col min="2" max="2" width="4.59765625" customWidth="1"/>
    <col min="3" max="4" width="4.59765625" style="3" customWidth="1"/>
    <col min="5" max="5" width="4.59765625" style="7" customWidth="1"/>
    <col min="6" max="6" width="4.59765625" style="11" customWidth="1"/>
    <col min="7" max="7" width="4.59765625" style="15" customWidth="1"/>
    <col min="8" max="9" width="4.59765625" style="13" customWidth="1"/>
    <col min="10" max="10" width="4.59765625" style="7" customWidth="1"/>
    <col min="11" max="11" width="4.59765625" style="15" customWidth="1"/>
    <col min="12" max="12" width="4.59765625" style="9" customWidth="1"/>
    <col min="13" max="13" width="4.59765625" style="17" customWidth="1"/>
    <col min="14" max="14" width="4.59765625" style="15" customWidth="1"/>
    <col min="15" max="15" width="4.59765625" style="13" customWidth="1"/>
    <col min="16" max="16" width="4.59765625" style="17" customWidth="1"/>
    <col min="17" max="17" width="4.59765625" style="7" customWidth="1"/>
    <col min="18" max="18" width="4.59765625" style="11" customWidth="1"/>
    <col min="19" max="19" width="4.59765625" style="17" customWidth="1"/>
    <col min="20" max="21" width="4.59765625" style="9" customWidth="1"/>
    <col min="22" max="22" width="4.59765625" style="15" customWidth="1"/>
    <col min="23" max="23" width="4.59765625" style="7" customWidth="1"/>
    <col min="24" max="24" width="4.59765625" style="11" customWidth="1"/>
    <col min="25" max="26" width="4.59765625" style="13" customWidth="1"/>
    <col min="27" max="27" width="4.59765625" style="11" customWidth="1"/>
    <col min="28" max="28" width="4.59765625" style="9" customWidth="1"/>
    <col min="29" max="52" width="4.59765625" customWidth="1"/>
    <col min="53" max="58" width="4.3984375" customWidth="1"/>
    <col min="59" max="59" width="3.46484375" customWidth="1"/>
  </cols>
  <sheetData>
    <row r="1" spans="1:60" ht="22.9" customHeight="1" thickBot="1" x14ac:dyDescent="0.5">
      <c r="B1" t="s">
        <v>53</v>
      </c>
      <c r="D1" s="18"/>
      <c r="E1" s="19" t="s">
        <v>28</v>
      </c>
      <c r="F1" s="20"/>
      <c r="G1" s="21" t="s">
        <v>29</v>
      </c>
      <c r="H1" s="22" t="s">
        <v>30</v>
      </c>
      <c r="I1" s="22" t="s">
        <v>31</v>
      </c>
      <c r="J1" s="19" t="s">
        <v>32</v>
      </c>
      <c r="K1" s="21" t="s">
        <v>33</v>
      </c>
      <c r="L1" s="23" t="s">
        <v>34</v>
      </c>
      <c r="M1" s="24"/>
      <c r="N1" s="21" t="s">
        <v>35</v>
      </c>
      <c r="O1" s="22" t="s">
        <v>36</v>
      </c>
      <c r="P1" s="24"/>
      <c r="Q1" s="19" t="s">
        <v>37</v>
      </c>
      <c r="R1" s="20"/>
      <c r="S1" s="24"/>
      <c r="T1" s="23"/>
      <c r="U1" s="23" t="s">
        <v>38</v>
      </c>
      <c r="V1" s="21" t="s">
        <v>39</v>
      </c>
      <c r="W1" s="19" t="s">
        <v>40</v>
      </c>
      <c r="X1" s="20"/>
      <c r="Y1" s="22" t="s">
        <v>41</v>
      </c>
      <c r="Z1" s="22" t="s">
        <v>42</v>
      </c>
      <c r="AA1" s="20" t="s">
        <v>43</v>
      </c>
      <c r="AB1" s="25"/>
    </row>
    <row r="2" spans="1:60" s="1" customFormat="1" ht="22.9" customHeight="1" x14ac:dyDescent="0.45">
      <c r="B2" s="1" t="s">
        <v>54</v>
      </c>
      <c r="C2" s="3"/>
      <c r="D2" s="26"/>
      <c r="E2" s="36" t="s">
        <v>44</v>
      </c>
      <c r="F2" s="37" t="s">
        <v>46</v>
      </c>
      <c r="G2" s="14" t="s">
        <v>48</v>
      </c>
      <c r="H2" s="12" t="s">
        <v>47</v>
      </c>
      <c r="I2" s="12" t="s">
        <v>47</v>
      </c>
      <c r="J2" s="4" t="s">
        <v>44</v>
      </c>
      <c r="K2" s="14" t="s">
        <v>48</v>
      </c>
      <c r="L2" s="8" t="s">
        <v>45</v>
      </c>
      <c r="M2" s="16" t="s">
        <v>49</v>
      </c>
      <c r="N2" s="14" t="s">
        <v>48</v>
      </c>
      <c r="O2" s="12" t="s">
        <v>47</v>
      </c>
      <c r="P2" s="16" t="s">
        <v>49</v>
      </c>
      <c r="Q2" s="4" t="s">
        <v>44</v>
      </c>
      <c r="R2" s="10" t="s">
        <v>46</v>
      </c>
      <c r="S2" s="16" t="s">
        <v>49</v>
      </c>
      <c r="T2" s="8" t="s">
        <v>45</v>
      </c>
      <c r="U2" s="8" t="s">
        <v>45</v>
      </c>
      <c r="V2" s="14" t="s">
        <v>48</v>
      </c>
      <c r="W2" s="4" t="s">
        <v>44</v>
      </c>
      <c r="X2" s="10" t="s">
        <v>46</v>
      </c>
      <c r="Y2" s="12" t="s">
        <v>47</v>
      </c>
      <c r="Z2" s="12" t="s">
        <v>47</v>
      </c>
      <c r="AA2" s="10" t="s">
        <v>46</v>
      </c>
      <c r="AB2" s="27" t="s">
        <v>45</v>
      </c>
      <c r="AC2" s="1" t="s">
        <v>50</v>
      </c>
      <c r="AD2" s="2">
        <v>1</v>
      </c>
      <c r="AE2" s="2">
        <v>2</v>
      </c>
      <c r="AF2" s="2">
        <v>1</v>
      </c>
      <c r="AG2" s="2">
        <v>2</v>
      </c>
      <c r="AH2" s="2">
        <v>2</v>
      </c>
      <c r="AI2" s="2">
        <v>2</v>
      </c>
      <c r="AR2" s="1">
        <f>AD2</f>
        <v>1</v>
      </c>
      <c r="AS2" s="1">
        <f t="shared" ref="AS2:AW2" si="0">AE2</f>
        <v>2</v>
      </c>
      <c r="AT2" s="1">
        <f t="shared" si="0"/>
        <v>1</v>
      </c>
      <c r="AU2" s="1">
        <f t="shared" si="0"/>
        <v>2</v>
      </c>
      <c r="AV2" s="1">
        <f t="shared" si="0"/>
        <v>2</v>
      </c>
      <c r="AW2" s="1">
        <f t="shared" si="0"/>
        <v>2</v>
      </c>
      <c r="AY2" s="1">
        <f>SUM(AR2:AW2)</f>
        <v>10</v>
      </c>
    </row>
    <row r="3" spans="1:60" ht="22.9" customHeight="1" x14ac:dyDescent="0.45">
      <c r="D3" s="26"/>
      <c r="E3" s="38" t="s">
        <v>44</v>
      </c>
      <c r="F3" s="39" t="s">
        <v>46</v>
      </c>
      <c r="G3" s="14" t="s">
        <v>48</v>
      </c>
      <c r="H3" s="12" t="s">
        <v>47</v>
      </c>
      <c r="I3" s="12" t="s">
        <v>47</v>
      </c>
      <c r="J3" s="4" t="s">
        <v>44</v>
      </c>
      <c r="K3" s="14" t="s">
        <v>48</v>
      </c>
      <c r="L3" s="8" t="s">
        <v>45</v>
      </c>
      <c r="M3" s="16" t="s">
        <v>49</v>
      </c>
      <c r="N3" s="14" t="s">
        <v>48</v>
      </c>
      <c r="O3" s="12" t="s">
        <v>47</v>
      </c>
      <c r="P3" s="16" t="s">
        <v>49</v>
      </c>
      <c r="Q3" s="4" t="s">
        <v>44</v>
      </c>
      <c r="R3" s="10" t="s">
        <v>46</v>
      </c>
      <c r="S3" s="16" t="s">
        <v>49</v>
      </c>
      <c r="T3" s="8" t="s">
        <v>45</v>
      </c>
      <c r="U3" s="8" t="s">
        <v>45</v>
      </c>
      <c r="V3" s="14" t="s">
        <v>48</v>
      </c>
      <c r="W3" s="4" t="s">
        <v>44</v>
      </c>
      <c r="X3" s="10" t="s">
        <v>46</v>
      </c>
      <c r="Y3" s="12" t="s">
        <v>47</v>
      </c>
      <c r="Z3" s="12" t="s">
        <v>47</v>
      </c>
      <c r="AA3" s="10" t="s">
        <v>46</v>
      </c>
      <c r="AB3" s="27" t="s">
        <v>45</v>
      </c>
      <c r="AC3" s="1" t="s">
        <v>51</v>
      </c>
      <c r="AD3">
        <f t="shared" ref="AD3:AI3" si="1">COUNTIF($E3:$AB3,AD$4)</f>
        <v>4</v>
      </c>
      <c r="AE3">
        <f t="shared" si="1"/>
        <v>4</v>
      </c>
      <c r="AF3">
        <f t="shared" si="1"/>
        <v>4</v>
      </c>
      <c r="AG3">
        <f t="shared" si="1"/>
        <v>5</v>
      </c>
      <c r="AH3">
        <f t="shared" si="1"/>
        <v>4</v>
      </c>
      <c r="AI3">
        <f t="shared" si="1"/>
        <v>3</v>
      </c>
      <c r="AJ3" s="1"/>
    </row>
    <row r="4" spans="1:60" ht="24.85" customHeight="1" thickBot="1" x14ac:dyDescent="0.5">
      <c r="B4" s="5" t="s">
        <v>25</v>
      </c>
      <c r="C4" s="6" t="s">
        <v>26</v>
      </c>
      <c r="D4" s="28" t="s">
        <v>27</v>
      </c>
      <c r="E4" s="40"/>
      <c r="F4" s="41"/>
      <c r="G4" s="31"/>
      <c r="H4" s="32"/>
      <c r="I4" s="32"/>
      <c r="J4" s="29"/>
      <c r="K4" s="31"/>
      <c r="L4" s="33"/>
      <c r="M4" s="34"/>
      <c r="N4" s="31"/>
      <c r="O4" s="32"/>
      <c r="P4" s="34"/>
      <c r="Q4" s="29"/>
      <c r="R4" s="30"/>
      <c r="S4" s="34"/>
      <c r="T4" s="33"/>
      <c r="U4" s="33"/>
      <c r="V4" s="31"/>
      <c r="W4" s="29"/>
      <c r="X4" s="30"/>
      <c r="Y4" s="32"/>
      <c r="Z4" s="32"/>
      <c r="AA4" s="30"/>
      <c r="AB4" s="35"/>
      <c r="AC4" t="s">
        <v>52</v>
      </c>
      <c r="AD4" t="s">
        <v>44</v>
      </c>
      <c r="AE4" t="s">
        <v>45</v>
      </c>
      <c r="AF4" t="s">
        <v>46</v>
      </c>
      <c r="AG4" t="s">
        <v>47</v>
      </c>
      <c r="AH4" t="s">
        <v>48</v>
      </c>
      <c r="AI4" t="s">
        <v>49</v>
      </c>
      <c r="AK4" t="s">
        <v>44</v>
      </c>
      <c r="AL4" t="s">
        <v>45</v>
      </c>
      <c r="AM4" t="s">
        <v>46</v>
      </c>
      <c r="AN4" t="s">
        <v>47</v>
      </c>
      <c r="AO4" t="s">
        <v>48</v>
      </c>
      <c r="AP4" t="s">
        <v>49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BA4" t="s">
        <v>44</v>
      </c>
      <c r="BB4" t="s">
        <v>45</v>
      </c>
      <c r="BC4" t="s">
        <v>46</v>
      </c>
      <c r="BD4" t="s">
        <v>47</v>
      </c>
      <c r="BE4" t="s">
        <v>48</v>
      </c>
      <c r="BF4" t="s">
        <v>49</v>
      </c>
    </row>
    <row r="5" spans="1:60" ht="24.85" customHeight="1" x14ac:dyDescent="0.45">
      <c r="A5">
        <v>1</v>
      </c>
      <c r="B5" t="s">
        <v>0</v>
      </c>
      <c r="E5" s="38">
        <v>0</v>
      </c>
      <c r="F5" s="39">
        <v>2</v>
      </c>
      <c r="G5" s="14">
        <v>0.5</v>
      </c>
      <c r="H5" s="12">
        <v>0</v>
      </c>
      <c r="I5" s="12">
        <v>0</v>
      </c>
      <c r="J5" s="4">
        <v>0</v>
      </c>
      <c r="K5" s="14">
        <v>0</v>
      </c>
      <c r="L5" s="8">
        <v>0</v>
      </c>
      <c r="M5" s="16">
        <v>0</v>
      </c>
      <c r="N5" s="14">
        <v>0</v>
      </c>
      <c r="O5" s="12">
        <v>0</v>
      </c>
      <c r="P5" s="16">
        <v>0</v>
      </c>
      <c r="Q5" s="4">
        <v>0</v>
      </c>
      <c r="R5" s="10">
        <v>0</v>
      </c>
      <c r="S5" s="16">
        <v>0</v>
      </c>
      <c r="T5" s="8">
        <v>0</v>
      </c>
      <c r="U5" s="8">
        <v>0</v>
      </c>
      <c r="V5" s="14">
        <v>0</v>
      </c>
      <c r="W5" s="4">
        <v>0</v>
      </c>
      <c r="X5" s="10">
        <v>0</v>
      </c>
      <c r="Y5" s="12">
        <v>0</v>
      </c>
      <c r="Z5" s="12">
        <v>0</v>
      </c>
      <c r="AA5" s="10">
        <v>0</v>
      </c>
      <c r="AB5" s="8">
        <v>0</v>
      </c>
      <c r="AD5">
        <f>E5+J5+Q5+W5</f>
        <v>0</v>
      </c>
      <c r="AE5">
        <f>L5+T5+U5+AB5</f>
        <v>0</v>
      </c>
      <c r="AF5">
        <f>F5+R5+AA5+X5</f>
        <v>2</v>
      </c>
      <c r="AG5">
        <f>H5+I5+O5+Y5+Z5</f>
        <v>0</v>
      </c>
      <c r="AH5">
        <f>G5+N5+K5+V5</f>
        <v>0.5</v>
      </c>
      <c r="AI5">
        <f>M5+S5+P5</f>
        <v>0</v>
      </c>
      <c r="AK5">
        <f>AD$2*AD5/(AD$3*2)</f>
        <v>0</v>
      </c>
      <c r="AL5">
        <f t="shared" ref="AL5:AP5" si="2">AE$2*AE5/(AE$3*2)</f>
        <v>0</v>
      </c>
      <c r="AM5">
        <f t="shared" si="2"/>
        <v>0.25</v>
      </c>
      <c r="AN5">
        <f t="shared" si="2"/>
        <v>0</v>
      </c>
      <c r="AO5">
        <f t="shared" si="2"/>
        <v>0.125</v>
      </c>
      <c r="AP5">
        <f t="shared" si="2"/>
        <v>0</v>
      </c>
      <c r="AR5" s="4">
        <f>IF(AK5&gt;=0.75*AD$2, AD$2,AK5)</f>
        <v>0</v>
      </c>
      <c r="AS5" s="4">
        <f t="shared" ref="AS5:AW5" si="3">IF(AL5&gt;=0.75*AE$2, AE$2,AL5)</f>
        <v>0</v>
      </c>
      <c r="AT5" s="4">
        <f t="shared" si="3"/>
        <v>0.25</v>
      </c>
      <c r="AU5" s="4">
        <f t="shared" si="3"/>
        <v>0</v>
      </c>
      <c r="AV5" s="4">
        <f t="shared" si="3"/>
        <v>0.125</v>
      </c>
      <c r="AW5" s="4">
        <f t="shared" si="3"/>
        <v>0</v>
      </c>
      <c r="AX5" s="4"/>
      <c r="AY5" s="2">
        <f>SUM(AR5:AW5)</f>
        <v>0.375</v>
      </c>
      <c r="BA5">
        <f t="shared" ref="BA5:BF5" si="4">ROUNDUP(AR5/0.5,0)*0.5</f>
        <v>0</v>
      </c>
      <c r="BB5">
        <f t="shared" si="4"/>
        <v>0</v>
      </c>
      <c r="BC5">
        <f t="shared" si="4"/>
        <v>0.5</v>
      </c>
      <c r="BD5">
        <f t="shared" si="4"/>
        <v>0</v>
      </c>
      <c r="BE5">
        <f t="shared" si="4"/>
        <v>0.5</v>
      </c>
      <c r="BF5">
        <f t="shared" si="4"/>
        <v>0</v>
      </c>
      <c r="BH5">
        <f>SUM(BA5:BF5)</f>
        <v>1</v>
      </c>
    </row>
    <row r="6" spans="1:60" ht="24.85" customHeight="1" x14ac:dyDescent="0.45">
      <c r="A6">
        <f>A5+1</f>
        <v>2</v>
      </c>
      <c r="B6" t="s">
        <v>1</v>
      </c>
      <c r="E6" s="38"/>
      <c r="F6" s="39"/>
      <c r="G6" s="14"/>
      <c r="H6" s="12"/>
      <c r="I6" s="12"/>
      <c r="J6" s="4"/>
      <c r="K6" s="14"/>
      <c r="L6" s="8"/>
      <c r="M6" s="16"/>
      <c r="N6" s="14"/>
      <c r="O6" s="12"/>
      <c r="P6" s="16"/>
      <c r="Q6" s="4"/>
      <c r="R6" s="10"/>
      <c r="S6" s="16"/>
      <c r="T6" s="8"/>
      <c r="U6" s="8"/>
      <c r="V6" s="14"/>
      <c r="W6" s="4"/>
      <c r="X6" s="10"/>
      <c r="Y6" s="12"/>
      <c r="Z6" s="12"/>
      <c r="AA6" s="10"/>
      <c r="AB6" s="8"/>
      <c r="AR6" s="4"/>
      <c r="AS6" s="4"/>
      <c r="AT6" s="4"/>
      <c r="AU6" s="4"/>
      <c r="AV6" s="4"/>
      <c r="AW6" s="4"/>
      <c r="AX6" s="4"/>
      <c r="AY6" s="2"/>
    </row>
    <row r="7" spans="1:60" ht="24.85" customHeight="1" x14ac:dyDescent="0.45">
      <c r="A7">
        <f t="shared" ref="A7:A29" si="5">A6+1</f>
        <v>3</v>
      </c>
      <c r="B7" t="s">
        <v>2</v>
      </c>
      <c r="E7" s="38">
        <v>2</v>
      </c>
      <c r="F7" s="39">
        <v>2</v>
      </c>
      <c r="G7" s="14">
        <v>2</v>
      </c>
      <c r="H7" s="12">
        <v>1</v>
      </c>
      <c r="I7" s="12">
        <v>1</v>
      </c>
      <c r="J7" s="4">
        <v>0</v>
      </c>
      <c r="K7" s="14">
        <v>2</v>
      </c>
      <c r="L7" s="8">
        <v>0</v>
      </c>
      <c r="M7" s="16">
        <v>0</v>
      </c>
      <c r="N7" s="14">
        <v>2</v>
      </c>
      <c r="O7" s="12">
        <v>1</v>
      </c>
      <c r="P7" s="16">
        <v>1</v>
      </c>
      <c r="Q7" s="4">
        <v>1</v>
      </c>
      <c r="R7" s="10">
        <v>1</v>
      </c>
      <c r="S7" s="16">
        <v>0</v>
      </c>
      <c r="T7" s="8">
        <v>1</v>
      </c>
      <c r="U7" s="8">
        <v>0</v>
      </c>
      <c r="V7" s="14">
        <v>0</v>
      </c>
      <c r="W7" s="4">
        <v>1</v>
      </c>
      <c r="X7" s="10">
        <v>0</v>
      </c>
      <c r="Y7" s="12">
        <v>1.5</v>
      </c>
      <c r="Z7" s="12">
        <v>0</v>
      </c>
      <c r="AA7" s="10">
        <v>2</v>
      </c>
      <c r="AB7" s="8">
        <v>2</v>
      </c>
      <c r="AD7">
        <f t="shared" ref="AD7:AD15" si="6">E7+J7+Q7+W7</f>
        <v>4</v>
      </c>
      <c r="AE7">
        <f t="shared" ref="AE7:AE29" si="7">L7+T7+U7+AB7</f>
        <v>3</v>
      </c>
      <c r="AF7">
        <f t="shared" ref="AF7:AF15" si="8">F7+R7+AA7+X7</f>
        <v>5</v>
      </c>
      <c r="AG7">
        <f t="shared" ref="AG7:AG15" si="9">H7+I7+O7+Y7+Z7</f>
        <v>4.5</v>
      </c>
      <c r="AH7">
        <f t="shared" ref="AH7:AH15" si="10">G7+N7+K7+V7</f>
        <v>6</v>
      </c>
      <c r="AI7">
        <f t="shared" ref="AI7:AI29" si="11">M7+S7+P7</f>
        <v>1</v>
      </c>
      <c r="AK7">
        <f t="shared" ref="AK7:AK29" si="12">AD$2*AD7/(AD$3*2)</f>
        <v>0.5</v>
      </c>
      <c r="AL7">
        <f t="shared" ref="AL7:AL29" si="13">AE$2*AE7/(AE$3*2)</f>
        <v>0.75</v>
      </c>
      <c r="AM7">
        <f t="shared" ref="AM7:AM29" si="14">AF$2*AF7/(AF$3*2)</f>
        <v>0.625</v>
      </c>
      <c r="AN7">
        <f t="shared" ref="AN7:AN29" si="15">AG$2*AG7/(AG$3*2)</f>
        <v>0.9</v>
      </c>
      <c r="AO7">
        <f t="shared" ref="AO7:AO29" si="16">AH$2*AH7/(AH$3*2)</f>
        <v>1.5</v>
      </c>
      <c r="AP7">
        <f t="shared" ref="AP7:AP29" si="17">AI$2*AI7/(AI$3*2)</f>
        <v>0.33333333333333331</v>
      </c>
      <c r="AR7" s="4">
        <f t="shared" ref="AR7:AR29" si="18">IF(AK7&gt;=0.75*AD$2, AD$2,AK7)</f>
        <v>0.5</v>
      </c>
      <c r="AS7" s="4">
        <f t="shared" ref="AS7:AS29" si="19">IF(AL7&gt;=0.75*AE$2, AE$2,AL7)</f>
        <v>0.75</v>
      </c>
      <c r="AT7" s="4">
        <f t="shared" ref="AT7:AT29" si="20">IF(AM7&gt;=0.75*AF$2, AF$2,AM7)</f>
        <v>0.625</v>
      </c>
      <c r="AU7" s="4">
        <f t="shared" ref="AU7:AU29" si="21">IF(AN7&gt;=0.75*AG$2, AG$2,AN7)</f>
        <v>0.9</v>
      </c>
      <c r="AV7" s="4">
        <f t="shared" ref="AV7:AV29" si="22">IF(AO7&gt;=0.75*AH$2, AH$2,AO7)</f>
        <v>2</v>
      </c>
      <c r="AW7" s="4">
        <f t="shared" ref="AW7:AW29" si="23">IF(AP7&gt;=0.75*AI$2, AI$2,AP7)</f>
        <v>0.33333333333333331</v>
      </c>
      <c r="AX7" s="4"/>
      <c r="AY7" s="2">
        <f t="shared" ref="AY7:AY29" si="24">SUM(AR7:AW7)</f>
        <v>5.1083333333333334</v>
      </c>
      <c r="BA7">
        <f t="shared" ref="BA7:BF7" si="25">ROUNDUP(AR7/0.5,0)*0.5</f>
        <v>0.5</v>
      </c>
      <c r="BB7">
        <f t="shared" si="25"/>
        <v>1</v>
      </c>
      <c r="BC7">
        <f t="shared" si="25"/>
        <v>1</v>
      </c>
      <c r="BD7">
        <f t="shared" si="25"/>
        <v>1</v>
      </c>
      <c r="BE7">
        <f t="shared" si="25"/>
        <v>2</v>
      </c>
      <c r="BF7">
        <f t="shared" si="25"/>
        <v>0.5</v>
      </c>
      <c r="BH7">
        <f>SUM(BA7:BF7)</f>
        <v>6</v>
      </c>
    </row>
    <row r="8" spans="1:60" ht="24.85" customHeight="1" x14ac:dyDescent="0.45">
      <c r="A8">
        <f t="shared" si="5"/>
        <v>4</v>
      </c>
      <c r="B8" t="s">
        <v>3</v>
      </c>
      <c r="E8" s="38">
        <v>2</v>
      </c>
      <c r="F8" s="39">
        <v>2</v>
      </c>
      <c r="G8" s="14">
        <v>2</v>
      </c>
      <c r="H8" s="12">
        <v>1</v>
      </c>
      <c r="I8" s="12">
        <v>1</v>
      </c>
      <c r="J8" s="4">
        <v>2</v>
      </c>
      <c r="K8" s="14">
        <v>2</v>
      </c>
      <c r="L8" s="8">
        <v>0</v>
      </c>
      <c r="M8" s="16">
        <v>0</v>
      </c>
      <c r="N8" s="14">
        <v>2</v>
      </c>
      <c r="O8" s="12">
        <v>0</v>
      </c>
      <c r="P8" s="16">
        <v>0</v>
      </c>
      <c r="Q8" s="4">
        <v>0</v>
      </c>
      <c r="R8" s="10">
        <v>0</v>
      </c>
      <c r="S8" s="16">
        <v>0</v>
      </c>
      <c r="T8" s="8">
        <v>0</v>
      </c>
      <c r="U8" s="8">
        <v>0</v>
      </c>
      <c r="V8" s="14">
        <v>0</v>
      </c>
      <c r="W8" s="4">
        <v>2</v>
      </c>
      <c r="X8" s="10">
        <v>1</v>
      </c>
      <c r="Y8" s="12">
        <v>2</v>
      </c>
      <c r="Z8" s="12">
        <v>1</v>
      </c>
      <c r="AA8" s="10">
        <v>2</v>
      </c>
      <c r="AB8" s="8">
        <v>2</v>
      </c>
      <c r="AD8">
        <f t="shared" si="6"/>
        <v>6</v>
      </c>
      <c r="AE8">
        <f t="shared" si="7"/>
        <v>2</v>
      </c>
      <c r="AF8">
        <f t="shared" si="8"/>
        <v>5</v>
      </c>
      <c r="AG8">
        <f t="shared" si="9"/>
        <v>5</v>
      </c>
      <c r="AH8">
        <f t="shared" si="10"/>
        <v>6</v>
      </c>
      <c r="AI8">
        <f t="shared" si="11"/>
        <v>0</v>
      </c>
      <c r="AK8">
        <f t="shared" si="12"/>
        <v>0.75</v>
      </c>
      <c r="AL8">
        <f t="shared" si="13"/>
        <v>0.5</v>
      </c>
      <c r="AM8">
        <f t="shared" si="14"/>
        <v>0.625</v>
      </c>
      <c r="AN8">
        <f t="shared" si="15"/>
        <v>1</v>
      </c>
      <c r="AO8">
        <f t="shared" si="16"/>
        <v>1.5</v>
      </c>
      <c r="AP8">
        <f t="shared" si="17"/>
        <v>0</v>
      </c>
      <c r="AR8" s="4">
        <f t="shared" si="18"/>
        <v>1</v>
      </c>
      <c r="AS8" s="4">
        <f t="shared" si="19"/>
        <v>0.5</v>
      </c>
      <c r="AT8" s="4">
        <f t="shared" si="20"/>
        <v>0.625</v>
      </c>
      <c r="AU8" s="4">
        <f t="shared" si="21"/>
        <v>1</v>
      </c>
      <c r="AV8" s="4">
        <f t="shared" si="22"/>
        <v>2</v>
      </c>
      <c r="AW8" s="4">
        <f t="shared" si="23"/>
        <v>0</v>
      </c>
      <c r="AX8" s="4"/>
      <c r="AY8" s="2">
        <f t="shared" si="24"/>
        <v>5.125</v>
      </c>
      <c r="BA8">
        <f t="shared" ref="BA8:BA28" si="26">ROUNDUP(AR8/0.5,0)*0.5</f>
        <v>1</v>
      </c>
      <c r="BB8">
        <f t="shared" ref="BB8:BB28" si="27">ROUNDUP(AS8/0.5,0)*0.5</f>
        <v>0.5</v>
      </c>
      <c r="BC8">
        <f t="shared" ref="BC8:BC28" si="28">ROUNDUP(AT8/0.5,0)*0.5</f>
        <v>1</v>
      </c>
      <c r="BD8">
        <f t="shared" ref="BD8:BD28" si="29">ROUNDUP(AU8/0.5,0)*0.5</f>
        <v>1</v>
      </c>
      <c r="BE8">
        <f t="shared" ref="BE8:BE28" si="30">ROUNDUP(AV8/0.5,0)*0.5</f>
        <v>2</v>
      </c>
      <c r="BF8">
        <f t="shared" ref="BF8:BF28" si="31">ROUNDUP(AW8/0.5,0)*0.5</f>
        <v>0</v>
      </c>
      <c r="BH8">
        <f t="shared" ref="BH8:BH28" si="32">SUM(BA8:BF8)</f>
        <v>5.5</v>
      </c>
    </row>
    <row r="9" spans="1:60" ht="24.85" customHeight="1" x14ac:dyDescent="0.45">
      <c r="A9">
        <f t="shared" si="5"/>
        <v>5</v>
      </c>
      <c r="B9" t="s">
        <v>4</v>
      </c>
      <c r="E9" s="38">
        <v>2</v>
      </c>
      <c r="F9" s="39">
        <v>2</v>
      </c>
      <c r="G9" s="14">
        <v>0</v>
      </c>
      <c r="H9" s="12">
        <v>1</v>
      </c>
      <c r="I9" s="12">
        <v>0</v>
      </c>
      <c r="J9" s="4">
        <v>1</v>
      </c>
      <c r="K9" s="14">
        <v>0</v>
      </c>
      <c r="L9" s="8">
        <v>0</v>
      </c>
      <c r="M9" s="16">
        <v>0</v>
      </c>
      <c r="N9" s="14">
        <v>2</v>
      </c>
      <c r="O9" s="12">
        <v>0</v>
      </c>
      <c r="P9" s="16">
        <v>0</v>
      </c>
      <c r="Q9" s="4">
        <v>2</v>
      </c>
      <c r="R9" s="10">
        <v>2</v>
      </c>
      <c r="S9" s="16">
        <v>0</v>
      </c>
      <c r="T9" s="8">
        <v>2</v>
      </c>
      <c r="U9" s="8">
        <v>0</v>
      </c>
      <c r="V9" s="14">
        <v>0</v>
      </c>
      <c r="W9" s="4">
        <v>1</v>
      </c>
      <c r="X9" s="10">
        <v>1</v>
      </c>
      <c r="Y9" s="12">
        <v>2</v>
      </c>
      <c r="Z9" s="12">
        <v>0</v>
      </c>
      <c r="AA9" s="10">
        <v>0</v>
      </c>
      <c r="AB9" s="8">
        <v>2</v>
      </c>
      <c r="AD9">
        <f t="shared" si="6"/>
        <v>6</v>
      </c>
      <c r="AE9">
        <f t="shared" si="7"/>
        <v>4</v>
      </c>
      <c r="AF9">
        <f t="shared" si="8"/>
        <v>5</v>
      </c>
      <c r="AG9">
        <f t="shared" si="9"/>
        <v>3</v>
      </c>
      <c r="AH9">
        <f t="shared" si="10"/>
        <v>2</v>
      </c>
      <c r="AI9">
        <f t="shared" si="11"/>
        <v>0</v>
      </c>
      <c r="AK9">
        <f t="shared" si="12"/>
        <v>0.75</v>
      </c>
      <c r="AL9">
        <f t="shared" si="13"/>
        <v>1</v>
      </c>
      <c r="AM9">
        <f t="shared" si="14"/>
        <v>0.625</v>
      </c>
      <c r="AN9">
        <f t="shared" si="15"/>
        <v>0.6</v>
      </c>
      <c r="AO9">
        <f t="shared" si="16"/>
        <v>0.5</v>
      </c>
      <c r="AP9">
        <f t="shared" si="17"/>
        <v>0</v>
      </c>
      <c r="AR9" s="4">
        <f t="shared" si="18"/>
        <v>1</v>
      </c>
      <c r="AS9" s="4">
        <f t="shared" si="19"/>
        <v>1</v>
      </c>
      <c r="AT9" s="4">
        <f t="shared" si="20"/>
        <v>0.625</v>
      </c>
      <c r="AU9" s="4">
        <f t="shared" si="21"/>
        <v>0.6</v>
      </c>
      <c r="AV9" s="4">
        <f t="shared" si="22"/>
        <v>0.5</v>
      </c>
      <c r="AW9" s="4">
        <f t="shared" si="23"/>
        <v>0</v>
      </c>
      <c r="AX9" s="4"/>
      <c r="AY9" s="2">
        <f t="shared" si="24"/>
        <v>3.7250000000000001</v>
      </c>
      <c r="BA9">
        <f t="shared" si="26"/>
        <v>1</v>
      </c>
      <c r="BB9">
        <f t="shared" si="27"/>
        <v>1</v>
      </c>
      <c r="BC9">
        <f t="shared" si="28"/>
        <v>1</v>
      </c>
      <c r="BD9">
        <f t="shared" si="29"/>
        <v>1</v>
      </c>
      <c r="BE9">
        <f t="shared" si="30"/>
        <v>0.5</v>
      </c>
      <c r="BF9">
        <f t="shared" si="31"/>
        <v>0</v>
      </c>
      <c r="BH9">
        <f t="shared" si="32"/>
        <v>4.5</v>
      </c>
    </row>
    <row r="10" spans="1:60" ht="24.85" customHeight="1" x14ac:dyDescent="0.45">
      <c r="A10">
        <f t="shared" si="5"/>
        <v>6</v>
      </c>
      <c r="B10" t="s">
        <v>5</v>
      </c>
      <c r="E10" s="38">
        <v>2</v>
      </c>
      <c r="F10" s="39">
        <v>2</v>
      </c>
      <c r="G10" s="14">
        <v>2</v>
      </c>
      <c r="H10" s="12">
        <v>2</v>
      </c>
      <c r="I10" s="12">
        <v>2</v>
      </c>
      <c r="J10" s="4">
        <v>1</v>
      </c>
      <c r="K10" s="14">
        <v>0</v>
      </c>
      <c r="L10" s="8">
        <v>0</v>
      </c>
      <c r="M10" s="16">
        <v>0</v>
      </c>
      <c r="N10" s="14">
        <v>2</v>
      </c>
      <c r="O10" s="12">
        <v>0</v>
      </c>
      <c r="P10" s="16">
        <v>0</v>
      </c>
      <c r="Q10" s="4">
        <v>1.5</v>
      </c>
      <c r="R10" s="10">
        <v>1.5</v>
      </c>
      <c r="S10" s="16">
        <v>2</v>
      </c>
      <c r="T10" s="8">
        <v>1.5</v>
      </c>
      <c r="U10" s="8">
        <v>0</v>
      </c>
      <c r="V10" s="14">
        <v>0</v>
      </c>
      <c r="W10" s="4">
        <v>2</v>
      </c>
      <c r="X10" s="10">
        <v>2</v>
      </c>
      <c r="Y10" s="12">
        <v>2</v>
      </c>
      <c r="Z10" s="12">
        <v>0</v>
      </c>
      <c r="AA10" s="10">
        <v>2</v>
      </c>
      <c r="AB10" s="8">
        <v>2</v>
      </c>
      <c r="AD10">
        <f t="shared" si="6"/>
        <v>6.5</v>
      </c>
      <c r="AE10">
        <f t="shared" si="7"/>
        <v>3.5</v>
      </c>
      <c r="AF10">
        <f t="shared" si="8"/>
        <v>7.5</v>
      </c>
      <c r="AG10">
        <f t="shared" si="9"/>
        <v>6</v>
      </c>
      <c r="AH10">
        <f t="shared" si="10"/>
        <v>4</v>
      </c>
      <c r="AI10">
        <f t="shared" si="11"/>
        <v>2</v>
      </c>
      <c r="AK10">
        <f t="shared" si="12"/>
        <v>0.8125</v>
      </c>
      <c r="AL10">
        <f t="shared" si="13"/>
        <v>0.875</v>
      </c>
      <c r="AM10">
        <f t="shared" si="14"/>
        <v>0.9375</v>
      </c>
      <c r="AN10">
        <f t="shared" si="15"/>
        <v>1.2</v>
      </c>
      <c r="AO10">
        <f t="shared" si="16"/>
        <v>1</v>
      </c>
      <c r="AP10">
        <f t="shared" si="17"/>
        <v>0.66666666666666663</v>
      </c>
      <c r="AR10" s="4">
        <f t="shared" si="18"/>
        <v>1</v>
      </c>
      <c r="AS10" s="4">
        <f t="shared" si="19"/>
        <v>0.875</v>
      </c>
      <c r="AT10" s="4">
        <f t="shared" si="20"/>
        <v>1</v>
      </c>
      <c r="AU10" s="4">
        <f t="shared" si="21"/>
        <v>1.2</v>
      </c>
      <c r="AV10" s="4">
        <f t="shared" si="22"/>
        <v>1</v>
      </c>
      <c r="AW10" s="4">
        <f t="shared" si="23"/>
        <v>0.66666666666666663</v>
      </c>
      <c r="AX10" s="4"/>
      <c r="AY10" s="2">
        <f t="shared" si="24"/>
        <v>5.7416666666666671</v>
      </c>
      <c r="BA10">
        <f t="shared" si="26"/>
        <v>1</v>
      </c>
      <c r="BB10">
        <f t="shared" si="27"/>
        <v>1</v>
      </c>
      <c r="BC10">
        <f t="shared" si="28"/>
        <v>1</v>
      </c>
      <c r="BD10">
        <f t="shared" si="29"/>
        <v>1.5</v>
      </c>
      <c r="BE10">
        <f t="shared" si="30"/>
        <v>1</v>
      </c>
      <c r="BF10">
        <f t="shared" si="31"/>
        <v>1</v>
      </c>
      <c r="BH10">
        <f t="shared" si="32"/>
        <v>6.5</v>
      </c>
    </row>
    <row r="11" spans="1:60" ht="24.85" customHeight="1" x14ac:dyDescent="0.45">
      <c r="A11">
        <f t="shared" si="5"/>
        <v>7</v>
      </c>
      <c r="B11" t="s">
        <v>6</v>
      </c>
      <c r="E11" s="38">
        <v>2</v>
      </c>
      <c r="F11" s="39">
        <v>2</v>
      </c>
      <c r="G11" s="14">
        <v>2</v>
      </c>
      <c r="H11" s="12">
        <v>2</v>
      </c>
      <c r="I11" s="12">
        <v>2</v>
      </c>
      <c r="J11" s="4">
        <v>2</v>
      </c>
      <c r="K11" s="14">
        <v>2</v>
      </c>
      <c r="L11" s="8">
        <v>0</v>
      </c>
      <c r="M11" s="16">
        <v>1.5</v>
      </c>
      <c r="N11" s="14">
        <v>2</v>
      </c>
      <c r="O11" s="12">
        <v>0</v>
      </c>
      <c r="P11" s="16">
        <v>2</v>
      </c>
      <c r="Q11" s="4">
        <v>2</v>
      </c>
      <c r="R11" s="10">
        <v>2</v>
      </c>
      <c r="S11" s="16">
        <v>0</v>
      </c>
      <c r="T11" s="8">
        <v>2</v>
      </c>
      <c r="U11" s="8">
        <v>0</v>
      </c>
      <c r="V11" s="14">
        <v>0</v>
      </c>
      <c r="W11" s="4">
        <v>0</v>
      </c>
      <c r="X11" s="10">
        <v>0</v>
      </c>
      <c r="Y11" s="12">
        <v>0</v>
      </c>
      <c r="Z11" s="12">
        <v>0</v>
      </c>
      <c r="AA11" s="10">
        <v>0</v>
      </c>
      <c r="AB11" s="8">
        <v>0</v>
      </c>
      <c r="AD11">
        <f t="shared" si="6"/>
        <v>6</v>
      </c>
      <c r="AE11">
        <f t="shared" si="7"/>
        <v>2</v>
      </c>
      <c r="AF11">
        <f t="shared" si="8"/>
        <v>4</v>
      </c>
      <c r="AG11">
        <f t="shared" si="9"/>
        <v>4</v>
      </c>
      <c r="AH11">
        <f t="shared" si="10"/>
        <v>6</v>
      </c>
      <c r="AI11">
        <f t="shared" si="11"/>
        <v>3.5</v>
      </c>
      <c r="AK11">
        <f t="shared" si="12"/>
        <v>0.75</v>
      </c>
      <c r="AL11">
        <f t="shared" si="13"/>
        <v>0.5</v>
      </c>
      <c r="AM11">
        <f t="shared" si="14"/>
        <v>0.5</v>
      </c>
      <c r="AN11">
        <f t="shared" si="15"/>
        <v>0.8</v>
      </c>
      <c r="AO11">
        <f t="shared" si="16"/>
        <v>1.5</v>
      </c>
      <c r="AP11">
        <f t="shared" si="17"/>
        <v>1.1666666666666667</v>
      </c>
      <c r="AR11" s="4">
        <f t="shared" si="18"/>
        <v>1</v>
      </c>
      <c r="AS11" s="4">
        <f t="shared" si="19"/>
        <v>0.5</v>
      </c>
      <c r="AT11" s="4">
        <f t="shared" si="20"/>
        <v>0.5</v>
      </c>
      <c r="AU11" s="4">
        <f t="shared" si="21"/>
        <v>0.8</v>
      </c>
      <c r="AV11" s="4">
        <f t="shared" si="22"/>
        <v>2</v>
      </c>
      <c r="AW11" s="4">
        <f t="shared" si="23"/>
        <v>1.1666666666666667</v>
      </c>
      <c r="AX11" s="4"/>
      <c r="AY11" s="2">
        <f t="shared" si="24"/>
        <v>5.9666666666666668</v>
      </c>
      <c r="BA11">
        <f t="shared" si="26"/>
        <v>1</v>
      </c>
      <c r="BB11">
        <f t="shared" si="27"/>
        <v>0.5</v>
      </c>
      <c r="BC11">
        <f t="shared" si="28"/>
        <v>0.5</v>
      </c>
      <c r="BD11">
        <f t="shared" si="29"/>
        <v>1</v>
      </c>
      <c r="BE11">
        <f t="shared" si="30"/>
        <v>2</v>
      </c>
      <c r="BF11">
        <f t="shared" si="31"/>
        <v>1.5</v>
      </c>
      <c r="BH11">
        <f t="shared" si="32"/>
        <v>6.5</v>
      </c>
    </row>
    <row r="12" spans="1:60" ht="24.85" customHeight="1" x14ac:dyDescent="0.45">
      <c r="A12">
        <f t="shared" si="5"/>
        <v>8</v>
      </c>
      <c r="B12" t="s">
        <v>7</v>
      </c>
      <c r="E12" s="38">
        <v>2</v>
      </c>
      <c r="F12" s="39">
        <v>2</v>
      </c>
      <c r="G12" s="14">
        <v>2</v>
      </c>
      <c r="H12" s="12">
        <v>2</v>
      </c>
      <c r="I12" s="12">
        <v>2</v>
      </c>
      <c r="J12" s="4">
        <v>2</v>
      </c>
      <c r="K12" s="14">
        <v>2</v>
      </c>
      <c r="L12" s="8">
        <v>2</v>
      </c>
      <c r="M12" s="16">
        <v>2</v>
      </c>
      <c r="N12" s="14">
        <v>2</v>
      </c>
      <c r="O12" s="12">
        <v>2</v>
      </c>
      <c r="P12" s="16">
        <v>1</v>
      </c>
      <c r="Q12" s="4">
        <v>2</v>
      </c>
      <c r="R12" s="10">
        <v>2</v>
      </c>
      <c r="S12" s="16">
        <v>2</v>
      </c>
      <c r="T12" s="8">
        <v>2</v>
      </c>
      <c r="U12" s="8">
        <v>2</v>
      </c>
      <c r="V12" s="14">
        <v>2</v>
      </c>
      <c r="W12" s="4">
        <v>2</v>
      </c>
      <c r="X12" s="10">
        <v>2</v>
      </c>
      <c r="Y12" s="12">
        <v>2</v>
      </c>
      <c r="Z12" s="12">
        <v>2</v>
      </c>
      <c r="AA12" s="10">
        <v>1</v>
      </c>
      <c r="AB12" s="8">
        <v>1</v>
      </c>
      <c r="AD12">
        <f t="shared" si="6"/>
        <v>8</v>
      </c>
      <c r="AE12">
        <f t="shared" si="7"/>
        <v>7</v>
      </c>
      <c r="AF12">
        <f t="shared" si="8"/>
        <v>7</v>
      </c>
      <c r="AG12">
        <f t="shared" si="9"/>
        <v>10</v>
      </c>
      <c r="AH12">
        <f t="shared" si="10"/>
        <v>8</v>
      </c>
      <c r="AI12">
        <f t="shared" si="11"/>
        <v>5</v>
      </c>
      <c r="AK12">
        <f t="shared" si="12"/>
        <v>1</v>
      </c>
      <c r="AL12">
        <f t="shared" si="13"/>
        <v>1.75</v>
      </c>
      <c r="AM12">
        <f t="shared" si="14"/>
        <v>0.875</v>
      </c>
      <c r="AN12">
        <f t="shared" si="15"/>
        <v>2</v>
      </c>
      <c r="AO12">
        <f t="shared" si="16"/>
        <v>2</v>
      </c>
      <c r="AP12">
        <f t="shared" si="17"/>
        <v>1.6666666666666667</v>
      </c>
      <c r="AR12" s="4">
        <f t="shared" si="18"/>
        <v>1</v>
      </c>
      <c r="AS12" s="4">
        <f t="shared" si="19"/>
        <v>2</v>
      </c>
      <c r="AT12" s="4">
        <f t="shared" si="20"/>
        <v>1</v>
      </c>
      <c r="AU12" s="4">
        <f t="shared" si="21"/>
        <v>2</v>
      </c>
      <c r="AV12" s="4">
        <f t="shared" si="22"/>
        <v>2</v>
      </c>
      <c r="AW12" s="4">
        <f t="shared" si="23"/>
        <v>2</v>
      </c>
      <c r="AX12" s="4"/>
      <c r="AY12" s="2">
        <f t="shared" si="24"/>
        <v>10</v>
      </c>
      <c r="BA12">
        <f t="shared" si="26"/>
        <v>1</v>
      </c>
      <c r="BB12">
        <f t="shared" si="27"/>
        <v>2</v>
      </c>
      <c r="BC12">
        <f t="shared" si="28"/>
        <v>1</v>
      </c>
      <c r="BD12">
        <f t="shared" si="29"/>
        <v>2</v>
      </c>
      <c r="BE12">
        <f t="shared" si="30"/>
        <v>2</v>
      </c>
      <c r="BF12">
        <f t="shared" si="31"/>
        <v>2</v>
      </c>
      <c r="BH12">
        <f t="shared" si="32"/>
        <v>10</v>
      </c>
    </row>
    <row r="13" spans="1:60" ht="24.85" customHeight="1" x14ac:dyDescent="0.45">
      <c r="A13">
        <f t="shared" si="5"/>
        <v>9</v>
      </c>
      <c r="B13" t="s">
        <v>8</v>
      </c>
      <c r="E13" s="38">
        <v>2</v>
      </c>
      <c r="F13" s="39">
        <v>2</v>
      </c>
      <c r="G13" s="14">
        <v>2</v>
      </c>
      <c r="H13" s="12">
        <v>1</v>
      </c>
      <c r="I13" s="12">
        <v>0</v>
      </c>
      <c r="J13" s="4">
        <v>2</v>
      </c>
      <c r="K13" s="14">
        <v>0</v>
      </c>
      <c r="L13" s="8">
        <v>2</v>
      </c>
      <c r="M13" s="16">
        <v>0</v>
      </c>
      <c r="N13" s="14">
        <v>2</v>
      </c>
      <c r="O13" s="12">
        <v>0</v>
      </c>
      <c r="P13" s="16">
        <v>0</v>
      </c>
      <c r="Q13" s="4">
        <v>1</v>
      </c>
      <c r="R13" s="10">
        <v>1</v>
      </c>
      <c r="S13" s="16">
        <v>0</v>
      </c>
      <c r="T13" s="8">
        <v>1</v>
      </c>
      <c r="U13" s="8">
        <v>0</v>
      </c>
      <c r="V13" s="14">
        <v>0</v>
      </c>
      <c r="W13" s="4">
        <v>2</v>
      </c>
      <c r="X13" s="10">
        <v>1.5</v>
      </c>
      <c r="Y13" s="12">
        <v>1.5</v>
      </c>
      <c r="Z13" s="12">
        <v>0.5</v>
      </c>
      <c r="AA13" s="10">
        <v>1</v>
      </c>
      <c r="AB13" s="8">
        <v>1</v>
      </c>
      <c r="AD13">
        <f t="shared" si="6"/>
        <v>7</v>
      </c>
      <c r="AE13">
        <f t="shared" si="7"/>
        <v>4</v>
      </c>
      <c r="AF13">
        <f t="shared" si="8"/>
        <v>5.5</v>
      </c>
      <c r="AG13">
        <f t="shared" si="9"/>
        <v>3</v>
      </c>
      <c r="AH13">
        <f t="shared" si="10"/>
        <v>4</v>
      </c>
      <c r="AI13">
        <f t="shared" si="11"/>
        <v>0</v>
      </c>
      <c r="AK13">
        <f t="shared" si="12"/>
        <v>0.875</v>
      </c>
      <c r="AL13">
        <f t="shared" si="13"/>
        <v>1</v>
      </c>
      <c r="AM13">
        <f t="shared" si="14"/>
        <v>0.6875</v>
      </c>
      <c r="AN13">
        <f t="shared" si="15"/>
        <v>0.6</v>
      </c>
      <c r="AO13">
        <f t="shared" si="16"/>
        <v>1</v>
      </c>
      <c r="AP13">
        <f t="shared" si="17"/>
        <v>0</v>
      </c>
      <c r="AR13" s="4">
        <f t="shared" si="18"/>
        <v>1</v>
      </c>
      <c r="AS13" s="4">
        <f t="shared" si="19"/>
        <v>1</v>
      </c>
      <c r="AT13" s="4">
        <f t="shared" si="20"/>
        <v>0.6875</v>
      </c>
      <c r="AU13" s="4">
        <f t="shared" si="21"/>
        <v>0.6</v>
      </c>
      <c r="AV13" s="4">
        <f t="shared" si="22"/>
        <v>1</v>
      </c>
      <c r="AW13" s="4">
        <f t="shared" si="23"/>
        <v>0</v>
      </c>
      <c r="AX13" s="4"/>
      <c r="AY13" s="2">
        <f t="shared" si="24"/>
        <v>4.2874999999999996</v>
      </c>
      <c r="BA13">
        <f t="shared" si="26"/>
        <v>1</v>
      </c>
      <c r="BB13">
        <f t="shared" si="27"/>
        <v>1</v>
      </c>
      <c r="BC13">
        <f t="shared" si="28"/>
        <v>1</v>
      </c>
      <c r="BD13">
        <f t="shared" si="29"/>
        <v>1</v>
      </c>
      <c r="BE13">
        <f t="shared" si="30"/>
        <v>1</v>
      </c>
      <c r="BF13">
        <f t="shared" si="31"/>
        <v>0</v>
      </c>
      <c r="BH13">
        <f t="shared" si="32"/>
        <v>5</v>
      </c>
    </row>
    <row r="14" spans="1:60" ht="24.85" customHeight="1" x14ac:dyDescent="0.45">
      <c r="A14">
        <f t="shared" si="5"/>
        <v>10</v>
      </c>
      <c r="B14" t="s">
        <v>9</v>
      </c>
      <c r="E14" s="38">
        <v>2</v>
      </c>
      <c r="F14" s="39">
        <v>1</v>
      </c>
      <c r="G14" s="14">
        <v>2</v>
      </c>
      <c r="H14" s="12">
        <v>1</v>
      </c>
      <c r="I14" s="12">
        <v>0</v>
      </c>
      <c r="J14" s="4">
        <v>0</v>
      </c>
      <c r="K14" s="14">
        <v>0</v>
      </c>
      <c r="L14" s="8">
        <v>0</v>
      </c>
      <c r="M14" s="16">
        <v>0</v>
      </c>
      <c r="N14" s="14">
        <v>1.5</v>
      </c>
      <c r="O14" s="12">
        <v>0</v>
      </c>
      <c r="P14" s="16">
        <v>0</v>
      </c>
      <c r="Q14" s="4">
        <v>0</v>
      </c>
      <c r="R14" s="10">
        <v>0</v>
      </c>
      <c r="S14" s="16">
        <v>0</v>
      </c>
      <c r="T14" s="8">
        <v>0</v>
      </c>
      <c r="U14" s="8">
        <v>0</v>
      </c>
      <c r="V14" s="14">
        <v>0</v>
      </c>
      <c r="W14" s="4">
        <v>0</v>
      </c>
      <c r="X14" s="10">
        <v>0</v>
      </c>
      <c r="Y14" s="12">
        <v>0</v>
      </c>
      <c r="Z14" s="12">
        <v>0</v>
      </c>
      <c r="AA14" s="10">
        <v>0</v>
      </c>
      <c r="AB14" s="8">
        <v>0</v>
      </c>
      <c r="AD14">
        <f t="shared" si="6"/>
        <v>2</v>
      </c>
      <c r="AE14">
        <f t="shared" si="7"/>
        <v>0</v>
      </c>
      <c r="AF14">
        <f t="shared" si="8"/>
        <v>1</v>
      </c>
      <c r="AG14">
        <f t="shared" si="9"/>
        <v>1</v>
      </c>
      <c r="AH14">
        <f t="shared" si="10"/>
        <v>3.5</v>
      </c>
      <c r="AI14">
        <f t="shared" si="11"/>
        <v>0</v>
      </c>
      <c r="AK14">
        <f t="shared" si="12"/>
        <v>0.25</v>
      </c>
      <c r="AL14">
        <f t="shared" si="13"/>
        <v>0</v>
      </c>
      <c r="AM14">
        <f t="shared" si="14"/>
        <v>0.125</v>
      </c>
      <c r="AN14">
        <f t="shared" si="15"/>
        <v>0.2</v>
      </c>
      <c r="AO14">
        <f t="shared" si="16"/>
        <v>0.875</v>
      </c>
      <c r="AP14">
        <f t="shared" si="17"/>
        <v>0</v>
      </c>
      <c r="AR14" s="4">
        <f t="shared" si="18"/>
        <v>0.25</v>
      </c>
      <c r="AS14" s="4">
        <f t="shared" si="19"/>
        <v>0</v>
      </c>
      <c r="AT14" s="4">
        <f t="shared" si="20"/>
        <v>0.125</v>
      </c>
      <c r="AU14" s="4">
        <f t="shared" si="21"/>
        <v>0.2</v>
      </c>
      <c r="AV14" s="4">
        <f t="shared" si="22"/>
        <v>0.875</v>
      </c>
      <c r="AW14" s="4">
        <f t="shared" si="23"/>
        <v>0</v>
      </c>
      <c r="AX14" s="4"/>
      <c r="AY14" s="2">
        <f t="shared" si="24"/>
        <v>1.45</v>
      </c>
      <c r="BA14">
        <f t="shared" si="26"/>
        <v>0.5</v>
      </c>
      <c r="BB14">
        <f t="shared" si="27"/>
        <v>0</v>
      </c>
      <c r="BC14">
        <f t="shared" si="28"/>
        <v>0.5</v>
      </c>
      <c r="BD14">
        <f t="shared" si="29"/>
        <v>0.5</v>
      </c>
      <c r="BE14">
        <f t="shared" si="30"/>
        <v>1</v>
      </c>
      <c r="BF14">
        <f t="shared" si="31"/>
        <v>0</v>
      </c>
      <c r="BH14">
        <f t="shared" si="32"/>
        <v>2.5</v>
      </c>
    </row>
    <row r="15" spans="1:60" ht="24.85" customHeight="1" x14ac:dyDescent="0.45">
      <c r="A15">
        <f t="shared" si="5"/>
        <v>11</v>
      </c>
      <c r="B15" t="s">
        <v>10</v>
      </c>
      <c r="E15" s="38">
        <v>2</v>
      </c>
      <c r="F15" s="39">
        <v>2</v>
      </c>
      <c r="G15" s="14">
        <v>2</v>
      </c>
      <c r="H15" s="12">
        <v>2</v>
      </c>
      <c r="I15" s="12">
        <v>2</v>
      </c>
      <c r="J15" s="4">
        <v>2</v>
      </c>
      <c r="K15" s="14">
        <v>2</v>
      </c>
      <c r="L15" s="8">
        <v>2</v>
      </c>
      <c r="M15" s="16">
        <v>2</v>
      </c>
      <c r="N15" s="14">
        <v>2</v>
      </c>
      <c r="O15" s="12">
        <v>2</v>
      </c>
      <c r="P15" s="16">
        <v>2</v>
      </c>
      <c r="Q15" s="4">
        <v>2</v>
      </c>
      <c r="R15" s="10">
        <v>2</v>
      </c>
      <c r="S15" s="16">
        <v>2</v>
      </c>
      <c r="T15" s="8">
        <v>2</v>
      </c>
      <c r="U15" s="8">
        <v>2</v>
      </c>
      <c r="V15" s="14">
        <v>2</v>
      </c>
      <c r="W15" s="4">
        <v>2</v>
      </c>
      <c r="X15" s="10">
        <v>2</v>
      </c>
      <c r="Y15" s="12">
        <v>2</v>
      </c>
      <c r="Z15" s="12">
        <v>1</v>
      </c>
      <c r="AA15" s="10">
        <v>2</v>
      </c>
      <c r="AB15" s="8">
        <v>2</v>
      </c>
      <c r="AD15">
        <f t="shared" si="6"/>
        <v>8</v>
      </c>
      <c r="AE15">
        <f t="shared" si="7"/>
        <v>8</v>
      </c>
      <c r="AF15">
        <f t="shared" si="8"/>
        <v>8</v>
      </c>
      <c r="AG15">
        <f t="shared" si="9"/>
        <v>9</v>
      </c>
      <c r="AH15">
        <f t="shared" si="10"/>
        <v>8</v>
      </c>
      <c r="AI15">
        <f t="shared" si="11"/>
        <v>6</v>
      </c>
      <c r="AK15">
        <f t="shared" si="12"/>
        <v>1</v>
      </c>
      <c r="AL15">
        <f t="shared" si="13"/>
        <v>2</v>
      </c>
      <c r="AM15">
        <f t="shared" si="14"/>
        <v>1</v>
      </c>
      <c r="AN15">
        <f t="shared" si="15"/>
        <v>1.8</v>
      </c>
      <c r="AO15">
        <f t="shared" si="16"/>
        <v>2</v>
      </c>
      <c r="AP15">
        <f t="shared" si="17"/>
        <v>2</v>
      </c>
      <c r="AR15" s="4">
        <f t="shared" si="18"/>
        <v>1</v>
      </c>
      <c r="AS15" s="4">
        <f t="shared" si="19"/>
        <v>2</v>
      </c>
      <c r="AT15" s="4">
        <f t="shared" si="20"/>
        <v>1</v>
      </c>
      <c r="AU15" s="4">
        <f t="shared" si="21"/>
        <v>2</v>
      </c>
      <c r="AV15" s="4">
        <f t="shared" si="22"/>
        <v>2</v>
      </c>
      <c r="AW15" s="4">
        <f t="shared" si="23"/>
        <v>2</v>
      </c>
      <c r="AX15" s="4"/>
      <c r="AY15" s="2">
        <f t="shared" si="24"/>
        <v>10</v>
      </c>
      <c r="BA15">
        <f t="shared" si="26"/>
        <v>1</v>
      </c>
      <c r="BB15">
        <f t="shared" si="27"/>
        <v>2</v>
      </c>
      <c r="BC15">
        <f t="shared" si="28"/>
        <v>1</v>
      </c>
      <c r="BD15">
        <f t="shared" si="29"/>
        <v>2</v>
      </c>
      <c r="BE15">
        <f t="shared" si="30"/>
        <v>2</v>
      </c>
      <c r="BF15">
        <f t="shared" si="31"/>
        <v>2</v>
      </c>
      <c r="BH15">
        <f t="shared" si="32"/>
        <v>10</v>
      </c>
    </row>
    <row r="16" spans="1:60" ht="24.85" customHeight="1" x14ac:dyDescent="0.45">
      <c r="A16">
        <f t="shared" si="5"/>
        <v>12</v>
      </c>
      <c r="B16" t="s">
        <v>11</v>
      </c>
      <c r="E16" s="38">
        <v>2</v>
      </c>
      <c r="F16" s="39">
        <v>2</v>
      </c>
      <c r="G16" s="14"/>
      <c r="H16" s="12"/>
      <c r="I16" s="12"/>
      <c r="J16" s="4"/>
      <c r="K16" s="14"/>
      <c r="L16" s="8"/>
      <c r="M16" s="16"/>
      <c r="N16" s="14"/>
      <c r="O16" s="12"/>
      <c r="P16" s="16"/>
      <c r="Q16" s="4"/>
      <c r="R16" s="10"/>
      <c r="S16" s="16"/>
      <c r="T16" s="8"/>
      <c r="U16" s="8"/>
      <c r="V16" s="14"/>
      <c r="W16" s="4"/>
      <c r="X16" s="10"/>
      <c r="Y16" s="12"/>
      <c r="Z16" s="12"/>
      <c r="AA16" s="10"/>
      <c r="AB16" s="8"/>
      <c r="AR16" s="4"/>
      <c r="AS16" s="4"/>
      <c r="AT16" s="4"/>
      <c r="AU16" s="4"/>
      <c r="AV16" s="4"/>
      <c r="AW16" s="4"/>
      <c r="AX16" s="4"/>
      <c r="AY16" s="2"/>
    </row>
    <row r="17" spans="1:60" ht="24.85" customHeight="1" x14ac:dyDescent="0.45">
      <c r="A17">
        <f t="shared" si="5"/>
        <v>13</v>
      </c>
      <c r="B17" t="s">
        <v>12</v>
      </c>
      <c r="E17" s="38">
        <v>2</v>
      </c>
      <c r="F17" s="39">
        <v>2</v>
      </c>
      <c r="G17" s="14">
        <v>2</v>
      </c>
      <c r="H17" s="12">
        <v>2</v>
      </c>
      <c r="I17" s="12">
        <v>2</v>
      </c>
      <c r="J17" s="4">
        <v>2</v>
      </c>
      <c r="K17" s="14">
        <v>2</v>
      </c>
      <c r="L17" s="8">
        <v>2</v>
      </c>
      <c r="M17" s="16">
        <v>2</v>
      </c>
      <c r="N17" s="14">
        <v>2</v>
      </c>
      <c r="O17" s="12">
        <v>2</v>
      </c>
      <c r="P17" s="16">
        <v>2</v>
      </c>
      <c r="Q17" s="4">
        <v>2</v>
      </c>
      <c r="R17" s="10">
        <v>2</v>
      </c>
      <c r="S17" s="16">
        <v>2</v>
      </c>
      <c r="T17" s="8">
        <v>2</v>
      </c>
      <c r="U17" s="8">
        <v>2</v>
      </c>
      <c r="V17" s="14">
        <v>2</v>
      </c>
      <c r="W17" s="4">
        <v>2</v>
      </c>
      <c r="X17" s="10">
        <v>2</v>
      </c>
      <c r="Y17" s="12">
        <v>2</v>
      </c>
      <c r="Z17" s="12">
        <v>2</v>
      </c>
      <c r="AA17" s="10">
        <v>2</v>
      </c>
      <c r="AB17" s="8">
        <v>2</v>
      </c>
      <c r="AD17">
        <f>E17+J17+Q17+W17</f>
        <v>8</v>
      </c>
      <c r="AE17">
        <f t="shared" si="7"/>
        <v>8</v>
      </c>
      <c r="AF17">
        <f>F17+R17+AA17+X17</f>
        <v>8</v>
      </c>
      <c r="AG17">
        <f>H17+I17+O17+Y17+Z17</f>
        <v>10</v>
      </c>
      <c r="AH17">
        <f>G17+N17+K17+V17</f>
        <v>8</v>
      </c>
      <c r="AI17">
        <f t="shared" si="11"/>
        <v>6</v>
      </c>
      <c r="AK17">
        <f t="shared" si="12"/>
        <v>1</v>
      </c>
      <c r="AL17">
        <f t="shared" si="13"/>
        <v>2</v>
      </c>
      <c r="AM17">
        <f t="shared" si="14"/>
        <v>1</v>
      </c>
      <c r="AN17">
        <f t="shared" si="15"/>
        <v>2</v>
      </c>
      <c r="AO17">
        <f t="shared" si="16"/>
        <v>2</v>
      </c>
      <c r="AP17">
        <f t="shared" si="17"/>
        <v>2</v>
      </c>
      <c r="AR17" s="4">
        <f t="shared" si="18"/>
        <v>1</v>
      </c>
      <c r="AS17" s="4">
        <f t="shared" si="19"/>
        <v>2</v>
      </c>
      <c r="AT17" s="4">
        <f t="shared" si="20"/>
        <v>1</v>
      </c>
      <c r="AU17" s="4">
        <f t="shared" si="21"/>
        <v>2</v>
      </c>
      <c r="AV17" s="4">
        <f t="shared" si="22"/>
        <v>2</v>
      </c>
      <c r="AW17" s="4">
        <f t="shared" si="23"/>
        <v>2</v>
      </c>
      <c r="AX17" s="4"/>
      <c r="AY17" s="2">
        <f t="shared" si="24"/>
        <v>10</v>
      </c>
      <c r="BA17">
        <f t="shared" si="26"/>
        <v>1</v>
      </c>
      <c r="BB17">
        <f t="shared" si="27"/>
        <v>2</v>
      </c>
      <c r="BC17">
        <f t="shared" si="28"/>
        <v>1</v>
      </c>
      <c r="BD17">
        <f t="shared" si="29"/>
        <v>2</v>
      </c>
      <c r="BE17">
        <f t="shared" si="30"/>
        <v>2</v>
      </c>
      <c r="BF17">
        <f t="shared" si="31"/>
        <v>2</v>
      </c>
      <c r="BH17">
        <f t="shared" si="32"/>
        <v>10</v>
      </c>
    </row>
    <row r="18" spans="1:60" ht="24.85" customHeight="1" x14ac:dyDescent="0.45">
      <c r="A18">
        <f t="shared" si="5"/>
        <v>14</v>
      </c>
      <c r="B18" t="s">
        <v>13</v>
      </c>
      <c r="E18" s="38">
        <v>2</v>
      </c>
      <c r="F18" s="39">
        <v>2</v>
      </c>
      <c r="G18" s="14">
        <v>0</v>
      </c>
      <c r="H18" s="12">
        <v>0</v>
      </c>
      <c r="I18" s="12">
        <v>0</v>
      </c>
      <c r="J18" s="4">
        <v>0</v>
      </c>
      <c r="K18" s="14">
        <v>0</v>
      </c>
      <c r="L18" s="8">
        <v>0</v>
      </c>
      <c r="M18" s="16">
        <v>0</v>
      </c>
      <c r="N18" s="14">
        <v>0</v>
      </c>
      <c r="O18" s="12">
        <v>0</v>
      </c>
      <c r="P18" s="16"/>
      <c r="Q18" s="4">
        <v>0</v>
      </c>
      <c r="R18" s="10">
        <v>0</v>
      </c>
      <c r="S18" s="16">
        <v>0</v>
      </c>
      <c r="T18" s="8">
        <v>0</v>
      </c>
      <c r="U18" s="8">
        <v>0</v>
      </c>
      <c r="V18" s="14">
        <v>0</v>
      </c>
      <c r="W18" s="4">
        <v>0</v>
      </c>
      <c r="X18" s="10">
        <v>0</v>
      </c>
      <c r="Y18" s="12">
        <v>0</v>
      </c>
      <c r="Z18" s="12">
        <v>0</v>
      </c>
      <c r="AA18" s="10">
        <v>0</v>
      </c>
      <c r="AB18" s="8">
        <v>0</v>
      </c>
      <c r="AD18">
        <f>E18+J18+Q18+W18</f>
        <v>2</v>
      </c>
      <c r="AE18">
        <f t="shared" si="7"/>
        <v>0</v>
      </c>
      <c r="AF18">
        <f>F18+R18+AA18+X18</f>
        <v>2</v>
      </c>
      <c r="AG18">
        <f>H18+I18+O18+Y18+Z18</f>
        <v>0</v>
      </c>
      <c r="AH18">
        <f>G18+N18+K18+V18</f>
        <v>0</v>
      </c>
      <c r="AI18">
        <f t="shared" si="11"/>
        <v>0</v>
      </c>
      <c r="AK18">
        <f t="shared" si="12"/>
        <v>0.25</v>
      </c>
      <c r="AL18">
        <f t="shared" si="13"/>
        <v>0</v>
      </c>
      <c r="AM18">
        <f t="shared" si="14"/>
        <v>0.25</v>
      </c>
      <c r="AN18">
        <f t="shared" si="15"/>
        <v>0</v>
      </c>
      <c r="AO18">
        <f t="shared" si="16"/>
        <v>0</v>
      </c>
      <c r="AP18">
        <f t="shared" si="17"/>
        <v>0</v>
      </c>
      <c r="AR18" s="4">
        <f t="shared" si="18"/>
        <v>0.25</v>
      </c>
      <c r="AS18" s="4">
        <f t="shared" si="19"/>
        <v>0</v>
      </c>
      <c r="AT18" s="4">
        <f t="shared" si="20"/>
        <v>0.25</v>
      </c>
      <c r="AU18" s="4">
        <f t="shared" si="21"/>
        <v>0</v>
      </c>
      <c r="AV18" s="4">
        <f t="shared" si="22"/>
        <v>0</v>
      </c>
      <c r="AW18" s="4">
        <f t="shared" si="23"/>
        <v>0</v>
      </c>
      <c r="AX18" s="4"/>
      <c r="AY18" s="2">
        <f t="shared" si="24"/>
        <v>0.5</v>
      </c>
      <c r="BA18">
        <f t="shared" si="26"/>
        <v>0.5</v>
      </c>
      <c r="BB18">
        <f t="shared" si="27"/>
        <v>0</v>
      </c>
      <c r="BC18">
        <f t="shared" si="28"/>
        <v>0.5</v>
      </c>
      <c r="BD18">
        <f t="shared" si="29"/>
        <v>0</v>
      </c>
      <c r="BE18">
        <f t="shared" si="30"/>
        <v>0</v>
      </c>
      <c r="BF18">
        <f t="shared" si="31"/>
        <v>0</v>
      </c>
      <c r="BH18">
        <f t="shared" si="32"/>
        <v>1</v>
      </c>
    </row>
    <row r="19" spans="1:60" ht="24.85" customHeight="1" x14ac:dyDescent="0.45">
      <c r="A19">
        <f t="shared" si="5"/>
        <v>15</v>
      </c>
      <c r="B19" t="s">
        <v>14</v>
      </c>
      <c r="E19" s="38">
        <v>2</v>
      </c>
      <c r="F19" s="39">
        <v>2</v>
      </c>
      <c r="G19" s="14">
        <v>2</v>
      </c>
      <c r="H19" s="12">
        <v>2</v>
      </c>
      <c r="I19" s="12">
        <v>2</v>
      </c>
      <c r="J19" s="4">
        <v>2</v>
      </c>
      <c r="K19" s="14">
        <v>2</v>
      </c>
      <c r="L19" s="8">
        <v>0</v>
      </c>
      <c r="M19" s="16">
        <v>0</v>
      </c>
      <c r="N19" s="14">
        <v>2</v>
      </c>
      <c r="O19" s="12">
        <v>2</v>
      </c>
      <c r="P19" s="16">
        <v>1.5</v>
      </c>
      <c r="Q19" s="4">
        <v>1</v>
      </c>
      <c r="R19" s="10">
        <v>1</v>
      </c>
      <c r="S19" s="16">
        <v>2</v>
      </c>
      <c r="T19" s="8">
        <v>1</v>
      </c>
      <c r="U19" s="8">
        <v>0</v>
      </c>
      <c r="V19" s="14">
        <v>2</v>
      </c>
      <c r="W19" s="4">
        <v>0</v>
      </c>
      <c r="X19" s="10">
        <v>0</v>
      </c>
      <c r="Y19" s="12">
        <v>0</v>
      </c>
      <c r="Z19" s="12">
        <v>0</v>
      </c>
      <c r="AA19" s="10">
        <v>0</v>
      </c>
      <c r="AB19" s="8">
        <v>0</v>
      </c>
      <c r="AD19">
        <f>E19+J19+Q19+W19</f>
        <v>5</v>
      </c>
      <c r="AE19">
        <f t="shared" si="7"/>
        <v>1</v>
      </c>
      <c r="AF19">
        <f>F19+R19+AA19+X19</f>
        <v>3</v>
      </c>
      <c r="AG19">
        <f>H19+I19+O19+Y19+Z19</f>
        <v>6</v>
      </c>
      <c r="AH19">
        <f>G19+N19+K19+V19</f>
        <v>8</v>
      </c>
      <c r="AI19">
        <f t="shared" si="11"/>
        <v>3.5</v>
      </c>
      <c r="AK19">
        <f t="shared" si="12"/>
        <v>0.625</v>
      </c>
      <c r="AL19">
        <f t="shared" si="13"/>
        <v>0.25</v>
      </c>
      <c r="AM19">
        <f t="shared" si="14"/>
        <v>0.375</v>
      </c>
      <c r="AN19">
        <f t="shared" si="15"/>
        <v>1.2</v>
      </c>
      <c r="AO19">
        <f t="shared" si="16"/>
        <v>2</v>
      </c>
      <c r="AP19">
        <f t="shared" si="17"/>
        <v>1.1666666666666667</v>
      </c>
      <c r="AR19" s="4">
        <f t="shared" si="18"/>
        <v>0.625</v>
      </c>
      <c r="AS19" s="4">
        <f t="shared" si="19"/>
        <v>0.25</v>
      </c>
      <c r="AT19" s="4">
        <f t="shared" si="20"/>
        <v>0.375</v>
      </c>
      <c r="AU19" s="4">
        <f t="shared" si="21"/>
        <v>1.2</v>
      </c>
      <c r="AV19" s="4">
        <f t="shared" si="22"/>
        <v>2</v>
      </c>
      <c r="AW19" s="4">
        <f t="shared" si="23"/>
        <v>1.1666666666666667</v>
      </c>
      <c r="AX19" s="4"/>
      <c r="AY19" s="2">
        <f t="shared" si="24"/>
        <v>5.6166666666666671</v>
      </c>
      <c r="BA19">
        <f t="shared" si="26"/>
        <v>1</v>
      </c>
      <c r="BB19">
        <f t="shared" si="27"/>
        <v>0.5</v>
      </c>
      <c r="BC19">
        <f t="shared" si="28"/>
        <v>0.5</v>
      </c>
      <c r="BD19">
        <f t="shared" si="29"/>
        <v>1.5</v>
      </c>
      <c r="BE19">
        <f t="shared" si="30"/>
        <v>2</v>
      </c>
      <c r="BF19">
        <f t="shared" si="31"/>
        <v>1.5</v>
      </c>
      <c r="BH19">
        <f t="shared" si="32"/>
        <v>7</v>
      </c>
    </row>
    <row r="20" spans="1:60" ht="24.85" customHeight="1" x14ac:dyDescent="0.45">
      <c r="A20">
        <f t="shared" si="5"/>
        <v>16</v>
      </c>
      <c r="B20" t="s">
        <v>15</v>
      </c>
      <c r="E20" s="38"/>
      <c r="F20" s="39"/>
      <c r="G20" s="14"/>
      <c r="H20" s="12"/>
      <c r="I20" s="12"/>
      <c r="J20" s="4"/>
      <c r="K20" s="14"/>
      <c r="L20" s="8"/>
      <c r="M20" s="16"/>
      <c r="N20" s="14"/>
      <c r="O20" s="12"/>
      <c r="P20" s="16"/>
      <c r="Q20" s="4"/>
      <c r="R20" s="10"/>
      <c r="S20" s="16"/>
      <c r="T20" s="8"/>
      <c r="U20" s="8"/>
      <c r="V20" s="14"/>
      <c r="W20" s="4"/>
      <c r="X20" s="10"/>
      <c r="Y20" s="12"/>
      <c r="Z20" s="12"/>
      <c r="AA20" s="10"/>
      <c r="AB20" s="8"/>
      <c r="AR20" s="4"/>
      <c r="AS20" s="4"/>
      <c r="AT20" s="4"/>
      <c r="AU20" s="4"/>
      <c r="AV20" s="4"/>
      <c r="AW20" s="4"/>
      <c r="AX20" s="4"/>
      <c r="AY20" s="2"/>
    </row>
    <row r="21" spans="1:60" ht="24.85" customHeight="1" x14ac:dyDescent="0.45">
      <c r="A21">
        <f t="shared" si="5"/>
        <v>17</v>
      </c>
      <c r="B21" t="s">
        <v>16</v>
      </c>
      <c r="E21" s="38">
        <v>2</v>
      </c>
      <c r="F21" s="39">
        <v>2</v>
      </c>
      <c r="G21" s="14">
        <v>2</v>
      </c>
      <c r="H21" s="12">
        <v>1</v>
      </c>
      <c r="I21" s="12">
        <v>0</v>
      </c>
      <c r="J21" s="4">
        <v>0</v>
      </c>
      <c r="K21" s="14">
        <v>0</v>
      </c>
      <c r="L21" s="8">
        <v>0</v>
      </c>
      <c r="M21" s="16">
        <v>0</v>
      </c>
      <c r="N21" s="14">
        <v>2</v>
      </c>
      <c r="O21" s="12">
        <v>1</v>
      </c>
      <c r="P21" s="16">
        <v>1</v>
      </c>
      <c r="Q21" s="4">
        <v>2</v>
      </c>
      <c r="R21" s="10">
        <v>2</v>
      </c>
      <c r="S21" s="16">
        <v>1.5</v>
      </c>
      <c r="T21" s="8">
        <v>2</v>
      </c>
      <c r="U21" s="8">
        <v>0</v>
      </c>
      <c r="V21" s="14">
        <v>0</v>
      </c>
      <c r="W21" s="4">
        <v>2</v>
      </c>
      <c r="X21" s="10">
        <v>1</v>
      </c>
      <c r="Y21" s="12">
        <v>1.5</v>
      </c>
      <c r="Z21" s="12">
        <v>0</v>
      </c>
      <c r="AA21" s="10">
        <v>2</v>
      </c>
      <c r="AB21" s="8">
        <v>2</v>
      </c>
      <c r="AD21">
        <f>E21+J21+Q21+W21</f>
        <v>6</v>
      </c>
      <c r="AE21">
        <f t="shared" si="7"/>
        <v>4</v>
      </c>
      <c r="AF21">
        <f>F21+R21+AA21+X21</f>
        <v>7</v>
      </c>
      <c r="AG21">
        <f>H21+I21+O21+Y21+Z21</f>
        <v>3.5</v>
      </c>
      <c r="AH21">
        <f>G21+N21+K21+V21</f>
        <v>4</v>
      </c>
      <c r="AI21">
        <f t="shared" si="11"/>
        <v>2.5</v>
      </c>
      <c r="AK21">
        <f t="shared" si="12"/>
        <v>0.75</v>
      </c>
      <c r="AL21">
        <f t="shared" si="13"/>
        <v>1</v>
      </c>
      <c r="AM21">
        <f t="shared" si="14"/>
        <v>0.875</v>
      </c>
      <c r="AN21">
        <f t="shared" si="15"/>
        <v>0.7</v>
      </c>
      <c r="AO21">
        <f t="shared" si="16"/>
        <v>1</v>
      </c>
      <c r="AP21">
        <f t="shared" si="17"/>
        <v>0.83333333333333337</v>
      </c>
      <c r="AR21" s="4">
        <f t="shared" si="18"/>
        <v>1</v>
      </c>
      <c r="AS21" s="4">
        <f t="shared" si="19"/>
        <v>1</v>
      </c>
      <c r="AT21" s="4">
        <f t="shared" si="20"/>
        <v>1</v>
      </c>
      <c r="AU21" s="4">
        <f t="shared" si="21"/>
        <v>0.7</v>
      </c>
      <c r="AV21" s="4">
        <f t="shared" si="22"/>
        <v>1</v>
      </c>
      <c r="AW21" s="4">
        <f t="shared" si="23"/>
        <v>0.83333333333333337</v>
      </c>
      <c r="AX21" s="4"/>
      <c r="AY21" s="2">
        <f t="shared" si="24"/>
        <v>5.5333333333333332</v>
      </c>
      <c r="BA21">
        <f t="shared" si="26"/>
        <v>1</v>
      </c>
      <c r="BB21">
        <f t="shared" si="27"/>
        <v>1</v>
      </c>
      <c r="BC21">
        <f t="shared" si="28"/>
        <v>1</v>
      </c>
      <c r="BD21">
        <f t="shared" si="29"/>
        <v>1</v>
      </c>
      <c r="BE21">
        <f t="shared" si="30"/>
        <v>1</v>
      </c>
      <c r="BF21">
        <f t="shared" si="31"/>
        <v>1</v>
      </c>
      <c r="BH21">
        <f t="shared" si="32"/>
        <v>6</v>
      </c>
    </row>
    <row r="22" spans="1:60" ht="24.85" customHeight="1" x14ac:dyDescent="0.45">
      <c r="A22">
        <f t="shared" si="5"/>
        <v>18</v>
      </c>
      <c r="B22" t="s">
        <v>17</v>
      </c>
      <c r="E22" s="38">
        <v>0</v>
      </c>
      <c r="F22" s="39">
        <v>0</v>
      </c>
      <c r="G22" s="14">
        <v>1</v>
      </c>
      <c r="H22" s="12">
        <v>2</v>
      </c>
      <c r="I22" s="12">
        <v>2</v>
      </c>
      <c r="J22" s="4">
        <v>0</v>
      </c>
      <c r="K22" s="14">
        <v>0</v>
      </c>
      <c r="L22" s="8">
        <v>0</v>
      </c>
      <c r="M22" s="16">
        <v>1.5</v>
      </c>
      <c r="N22" s="14">
        <v>0</v>
      </c>
      <c r="O22" s="12">
        <v>0</v>
      </c>
      <c r="P22" s="16"/>
      <c r="Q22" s="4">
        <v>0</v>
      </c>
      <c r="R22" s="10">
        <v>0</v>
      </c>
      <c r="S22" s="16">
        <v>0</v>
      </c>
      <c r="T22" s="8">
        <v>0</v>
      </c>
      <c r="U22" s="8">
        <v>0</v>
      </c>
      <c r="V22" s="14">
        <v>0</v>
      </c>
      <c r="W22" s="4">
        <v>0</v>
      </c>
      <c r="X22" s="10">
        <v>0</v>
      </c>
      <c r="Y22" s="12">
        <v>0</v>
      </c>
      <c r="Z22" s="12">
        <v>0</v>
      </c>
      <c r="AA22" s="10">
        <v>0</v>
      </c>
      <c r="AB22" s="8">
        <v>0</v>
      </c>
      <c r="AD22">
        <f>E22+J22+Q22+W22</f>
        <v>0</v>
      </c>
      <c r="AE22">
        <f t="shared" si="7"/>
        <v>0</v>
      </c>
      <c r="AF22">
        <f>F22+R22+AA22+X22</f>
        <v>0</v>
      </c>
      <c r="AG22">
        <f>H22+I22+O22+Y22+Z22</f>
        <v>4</v>
      </c>
      <c r="AH22">
        <f>G22+N22+K22+V22</f>
        <v>1</v>
      </c>
      <c r="AI22">
        <f t="shared" si="11"/>
        <v>1.5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0.8</v>
      </c>
      <c r="AO22">
        <f t="shared" si="16"/>
        <v>0.25</v>
      </c>
      <c r="AP22">
        <f t="shared" si="17"/>
        <v>0.5</v>
      </c>
      <c r="AR22" s="4">
        <f t="shared" si="18"/>
        <v>0</v>
      </c>
      <c r="AS22" s="4">
        <f t="shared" si="19"/>
        <v>0</v>
      </c>
      <c r="AT22" s="4">
        <f t="shared" si="20"/>
        <v>0</v>
      </c>
      <c r="AU22" s="4">
        <f t="shared" si="21"/>
        <v>0.8</v>
      </c>
      <c r="AV22" s="4">
        <f t="shared" si="22"/>
        <v>0.25</v>
      </c>
      <c r="AW22" s="4">
        <f t="shared" si="23"/>
        <v>0.5</v>
      </c>
      <c r="AX22" s="4"/>
      <c r="AY22" s="2">
        <f t="shared" si="24"/>
        <v>1.55</v>
      </c>
      <c r="BA22">
        <f t="shared" si="26"/>
        <v>0</v>
      </c>
      <c r="BB22">
        <f t="shared" si="27"/>
        <v>0</v>
      </c>
      <c r="BC22">
        <f t="shared" si="28"/>
        <v>0</v>
      </c>
      <c r="BD22">
        <f t="shared" si="29"/>
        <v>1</v>
      </c>
      <c r="BE22">
        <f t="shared" si="30"/>
        <v>0.5</v>
      </c>
      <c r="BF22">
        <f t="shared" si="31"/>
        <v>0.5</v>
      </c>
      <c r="BH22">
        <f t="shared" si="32"/>
        <v>2</v>
      </c>
    </row>
    <row r="23" spans="1:60" ht="24.85" customHeight="1" x14ac:dyDescent="0.45">
      <c r="A23">
        <f t="shared" si="5"/>
        <v>19</v>
      </c>
      <c r="B23" t="s">
        <v>18</v>
      </c>
      <c r="E23" s="38">
        <v>2</v>
      </c>
      <c r="F23" s="39">
        <v>2</v>
      </c>
      <c r="G23" s="14">
        <v>2</v>
      </c>
      <c r="H23" s="12">
        <v>2</v>
      </c>
      <c r="I23" s="12">
        <v>2</v>
      </c>
      <c r="J23" s="4">
        <v>0.5</v>
      </c>
      <c r="K23" s="14">
        <v>0</v>
      </c>
      <c r="L23" s="8">
        <v>0</v>
      </c>
      <c r="M23" s="16">
        <v>0</v>
      </c>
      <c r="N23" s="14">
        <v>2</v>
      </c>
      <c r="O23" s="12">
        <v>1</v>
      </c>
      <c r="P23" s="16">
        <v>1</v>
      </c>
      <c r="Q23" s="4">
        <v>2</v>
      </c>
      <c r="R23" s="10">
        <v>2</v>
      </c>
      <c r="S23" s="16">
        <v>2</v>
      </c>
      <c r="T23" s="8">
        <v>2</v>
      </c>
      <c r="U23" s="8">
        <v>2</v>
      </c>
      <c r="V23" s="14">
        <v>2</v>
      </c>
      <c r="W23" s="4">
        <v>2</v>
      </c>
      <c r="X23" s="10">
        <v>2</v>
      </c>
      <c r="Y23" s="12">
        <v>2</v>
      </c>
      <c r="Z23" s="12">
        <v>0</v>
      </c>
      <c r="AA23" s="10">
        <v>2</v>
      </c>
      <c r="AB23" s="8">
        <v>2</v>
      </c>
      <c r="AD23">
        <f>E23+J23+Q23+W23</f>
        <v>6.5</v>
      </c>
      <c r="AE23">
        <f t="shared" si="7"/>
        <v>6</v>
      </c>
      <c r="AF23">
        <f>F23+R23+AA23+X23</f>
        <v>8</v>
      </c>
      <c r="AG23">
        <f>H23+I23+O23+Y23+Z23</f>
        <v>7</v>
      </c>
      <c r="AH23">
        <f>G23+N23+K23+V23</f>
        <v>6</v>
      </c>
      <c r="AI23">
        <f t="shared" si="11"/>
        <v>3</v>
      </c>
      <c r="AK23">
        <f t="shared" si="12"/>
        <v>0.8125</v>
      </c>
      <c r="AL23">
        <f t="shared" si="13"/>
        <v>1.5</v>
      </c>
      <c r="AM23">
        <f t="shared" si="14"/>
        <v>1</v>
      </c>
      <c r="AN23">
        <f t="shared" si="15"/>
        <v>1.4</v>
      </c>
      <c r="AO23">
        <f t="shared" si="16"/>
        <v>1.5</v>
      </c>
      <c r="AP23">
        <f t="shared" si="17"/>
        <v>1</v>
      </c>
      <c r="AR23" s="4">
        <f t="shared" si="18"/>
        <v>1</v>
      </c>
      <c r="AS23" s="4">
        <f t="shared" si="19"/>
        <v>2</v>
      </c>
      <c r="AT23" s="4">
        <f t="shared" si="20"/>
        <v>1</v>
      </c>
      <c r="AU23" s="4">
        <f t="shared" si="21"/>
        <v>1.4</v>
      </c>
      <c r="AV23" s="4">
        <f t="shared" si="22"/>
        <v>2</v>
      </c>
      <c r="AW23" s="4">
        <f t="shared" si="23"/>
        <v>1</v>
      </c>
      <c r="AX23" s="4"/>
      <c r="AY23" s="2">
        <f t="shared" si="24"/>
        <v>8.4</v>
      </c>
      <c r="BA23">
        <f t="shared" si="26"/>
        <v>1</v>
      </c>
      <c r="BB23">
        <f t="shared" si="27"/>
        <v>2</v>
      </c>
      <c r="BC23">
        <f t="shared" si="28"/>
        <v>1</v>
      </c>
      <c r="BD23">
        <f t="shared" si="29"/>
        <v>1.5</v>
      </c>
      <c r="BE23">
        <f t="shared" si="30"/>
        <v>2</v>
      </c>
      <c r="BF23">
        <f t="shared" si="31"/>
        <v>1</v>
      </c>
      <c r="BH23">
        <f t="shared" si="32"/>
        <v>8.5</v>
      </c>
    </row>
    <row r="24" spans="1:60" ht="24.85" customHeight="1" x14ac:dyDescent="0.45">
      <c r="A24">
        <f t="shared" si="5"/>
        <v>20</v>
      </c>
      <c r="B24" t="s">
        <v>19</v>
      </c>
      <c r="E24" s="38">
        <v>2</v>
      </c>
      <c r="F24" s="39">
        <v>2</v>
      </c>
      <c r="G24" s="14">
        <v>2</v>
      </c>
      <c r="H24" s="12">
        <v>2</v>
      </c>
      <c r="I24" s="12">
        <v>2</v>
      </c>
      <c r="J24" s="4">
        <v>2</v>
      </c>
      <c r="K24" s="14">
        <v>2</v>
      </c>
      <c r="L24" s="8">
        <v>2</v>
      </c>
      <c r="M24" s="16">
        <v>2</v>
      </c>
      <c r="N24" s="14">
        <v>2</v>
      </c>
      <c r="O24" s="12">
        <v>2</v>
      </c>
      <c r="P24" s="16">
        <v>2</v>
      </c>
      <c r="Q24" s="4">
        <v>2</v>
      </c>
      <c r="R24" s="10">
        <v>2</v>
      </c>
      <c r="S24" s="16">
        <v>2</v>
      </c>
      <c r="T24" s="8">
        <v>2</v>
      </c>
      <c r="U24" s="8">
        <v>0</v>
      </c>
      <c r="V24" s="14">
        <v>1</v>
      </c>
      <c r="W24" s="4">
        <v>2</v>
      </c>
      <c r="X24" s="10">
        <v>2</v>
      </c>
      <c r="Y24" s="12">
        <v>2</v>
      </c>
      <c r="Z24" s="12">
        <v>2</v>
      </c>
      <c r="AA24" s="10">
        <v>2</v>
      </c>
      <c r="AB24" s="8">
        <v>2</v>
      </c>
      <c r="AD24">
        <f>E24+J24+Q24+W24</f>
        <v>8</v>
      </c>
      <c r="AE24">
        <f t="shared" si="7"/>
        <v>6</v>
      </c>
      <c r="AF24">
        <f>F24+R24+AA24+X24</f>
        <v>8</v>
      </c>
      <c r="AG24">
        <f>H24+I24+O24+Y24+Z24</f>
        <v>10</v>
      </c>
      <c r="AH24">
        <f>G24+N24+K24+V24</f>
        <v>7</v>
      </c>
      <c r="AI24">
        <f t="shared" si="11"/>
        <v>6</v>
      </c>
      <c r="AK24">
        <f t="shared" si="12"/>
        <v>1</v>
      </c>
      <c r="AL24">
        <f t="shared" si="13"/>
        <v>1.5</v>
      </c>
      <c r="AM24">
        <f t="shared" si="14"/>
        <v>1</v>
      </c>
      <c r="AN24">
        <f t="shared" si="15"/>
        <v>2</v>
      </c>
      <c r="AO24">
        <f t="shared" si="16"/>
        <v>1.75</v>
      </c>
      <c r="AP24">
        <f t="shared" si="17"/>
        <v>2</v>
      </c>
      <c r="AR24" s="4">
        <f t="shared" si="18"/>
        <v>1</v>
      </c>
      <c r="AS24" s="4">
        <f t="shared" si="19"/>
        <v>2</v>
      </c>
      <c r="AT24" s="4">
        <f t="shared" si="20"/>
        <v>1</v>
      </c>
      <c r="AU24" s="4">
        <f t="shared" si="21"/>
        <v>2</v>
      </c>
      <c r="AV24" s="4">
        <f t="shared" si="22"/>
        <v>2</v>
      </c>
      <c r="AW24" s="4">
        <f t="shared" si="23"/>
        <v>2</v>
      </c>
      <c r="AX24" s="4"/>
      <c r="AY24" s="2">
        <f t="shared" si="24"/>
        <v>10</v>
      </c>
      <c r="BA24">
        <f t="shared" si="26"/>
        <v>1</v>
      </c>
      <c r="BB24">
        <f t="shared" si="27"/>
        <v>2</v>
      </c>
      <c r="BC24">
        <f t="shared" si="28"/>
        <v>1</v>
      </c>
      <c r="BD24">
        <f t="shared" si="29"/>
        <v>2</v>
      </c>
      <c r="BE24">
        <f t="shared" si="30"/>
        <v>2</v>
      </c>
      <c r="BF24">
        <f t="shared" si="31"/>
        <v>2</v>
      </c>
      <c r="BH24">
        <f t="shared" si="32"/>
        <v>10</v>
      </c>
    </row>
    <row r="25" spans="1:60" ht="24.85" customHeight="1" x14ac:dyDescent="0.45">
      <c r="A25">
        <f t="shared" si="5"/>
        <v>21</v>
      </c>
      <c r="B25" t="s">
        <v>20</v>
      </c>
      <c r="E25" s="38"/>
      <c r="F25" s="39"/>
      <c r="G25" s="14"/>
      <c r="H25" s="12"/>
      <c r="I25" s="12"/>
      <c r="J25" s="4"/>
      <c r="K25" s="14"/>
      <c r="L25" s="8"/>
      <c r="M25" s="16"/>
      <c r="N25" s="14"/>
      <c r="O25" s="12"/>
      <c r="P25" s="16"/>
      <c r="Q25" s="4"/>
      <c r="R25" s="10"/>
      <c r="S25" s="16"/>
      <c r="T25" s="8"/>
      <c r="U25" s="8"/>
      <c r="V25" s="14"/>
      <c r="W25" s="4"/>
      <c r="X25" s="10"/>
      <c r="Y25" s="12"/>
      <c r="Z25" s="12"/>
      <c r="AA25" s="10"/>
      <c r="AB25" s="8"/>
      <c r="AR25" s="4"/>
      <c r="AS25" s="4"/>
      <c r="AT25" s="4"/>
      <c r="AU25" s="4"/>
      <c r="AV25" s="4"/>
      <c r="AW25" s="4"/>
      <c r="AX25" s="4"/>
      <c r="AY25" s="2"/>
    </row>
    <row r="26" spans="1:60" ht="24.85" customHeight="1" x14ac:dyDescent="0.45">
      <c r="A26">
        <f t="shared" si="5"/>
        <v>22</v>
      </c>
      <c r="B26" t="s">
        <v>21</v>
      </c>
      <c r="E26" s="38">
        <v>1</v>
      </c>
      <c r="F26" s="39">
        <v>2</v>
      </c>
      <c r="G26" s="14">
        <v>1.5</v>
      </c>
      <c r="H26" s="12">
        <v>1</v>
      </c>
      <c r="I26" s="12">
        <v>1</v>
      </c>
      <c r="J26" s="4">
        <v>0</v>
      </c>
      <c r="K26" s="14">
        <v>0</v>
      </c>
      <c r="L26" s="8">
        <v>0</v>
      </c>
      <c r="M26" s="16">
        <v>0</v>
      </c>
      <c r="N26" s="14">
        <v>0</v>
      </c>
      <c r="O26" s="12">
        <v>0</v>
      </c>
      <c r="P26" s="16">
        <v>0</v>
      </c>
      <c r="Q26" s="4">
        <v>0</v>
      </c>
      <c r="R26" s="10">
        <v>0</v>
      </c>
      <c r="S26" s="16">
        <v>0</v>
      </c>
      <c r="T26" s="8">
        <v>0</v>
      </c>
      <c r="U26" s="8">
        <v>0</v>
      </c>
      <c r="V26" s="14">
        <v>0</v>
      </c>
      <c r="W26" s="4">
        <v>0</v>
      </c>
      <c r="X26" s="10">
        <v>0</v>
      </c>
      <c r="Y26" s="12">
        <v>0</v>
      </c>
      <c r="Z26" s="12">
        <v>0</v>
      </c>
      <c r="AA26" s="10">
        <v>0</v>
      </c>
      <c r="AB26" s="8">
        <v>0</v>
      </c>
      <c r="AD26">
        <f>E26+J26+Q26+W26</f>
        <v>1</v>
      </c>
      <c r="AE26">
        <f t="shared" si="7"/>
        <v>0</v>
      </c>
      <c r="AF26">
        <f>F26+R26+AA26+X26</f>
        <v>2</v>
      </c>
      <c r="AG26">
        <f>H26+I26+O26+Y26+Z26</f>
        <v>2</v>
      </c>
      <c r="AH26">
        <f>G26+N26+K26+V26</f>
        <v>1.5</v>
      </c>
      <c r="AI26">
        <f t="shared" si="11"/>
        <v>0</v>
      </c>
      <c r="AK26">
        <f t="shared" si="12"/>
        <v>0.125</v>
      </c>
      <c r="AL26">
        <f t="shared" si="13"/>
        <v>0</v>
      </c>
      <c r="AM26">
        <f t="shared" si="14"/>
        <v>0.25</v>
      </c>
      <c r="AN26">
        <f t="shared" si="15"/>
        <v>0.4</v>
      </c>
      <c r="AO26">
        <f t="shared" si="16"/>
        <v>0.375</v>
      </c>
      <c r="AP26">
        <f t="shared" si="17"/>
        <v>0</v>
      </c>
      <c r="AR26" s="4">
        <f t="shared" si="18"/>
        <v>0.125</v>
      </c>
      <c r="AS26" s="4">
        <f t="shared" si="19"/>
        <v>0</v>
      </c>
      <c r="AT26" s="4">
        <f t="shared" si="20"/>
        <v>0.25</v>
      </c>
      <c r="AU26" s="4">
        <f t="shared" si="21"/>
        <v>0.4</v>
      </c>
      <c r="AV26" s="4">
        <f t="shared" si="22"/>
        <v>0.375</v>
      </c>
      <c r="AW26" s="4">
        <f t="shared" si="23"/>
        <v>0</v>
      </c>
      <c r="AX26" s="4"/>
      <c r="AY26" s="2">
        <f t="shared" si="24"/>
        <v>1.1499999999999999</v>
      </c>
      <c r="BA26">
        <f t="shared" si="26"/>
        <v>0.5</v>
      </c>
      <c r="BB26">
        <f t="shared" si="27"/>
        <v>0</v>
      </c>
      <c r="BC26">
        <f t="shared" si="28"/>
        <v>0.5</v>
      </c>
      <c r="BD26">
        <f t="shared" si="29"/>
        <v>0.5</v>
      </c>
      <c r="BE26">
        <f t="shared" si="30"/>
        <v>0.5</v>
      </c>
      <c r="BF26">
        <f t="shared" si="31"/>
        <v>0</v>
      </c>
      <c r="BH26">
        <f t="shared" si="32"/>
        <v>2</v>
      </c>
    </row>
    <row r="27" spans="1:60" ht="24.85" customHeight="1" x14ac:dyDescent="0.45">
      <c r="A27">
        <f t="shared" si="5"/>
        <v>23</v>
      </c>
      <c r="B27" t="s">
        <v>22</v>
      </c>
      <c r="E27" s="38">
        <v>2</v>
      </c>
      <c r="F27" s="39">
        <v>2</v>
      </c>
      <c r="G27" s="14">
        <v>2</v>
      </c>
      <c r="H27" s="12">
        <v>2</v>
      </c>
      <c r="I27" s="12">
        <v>0</v>
      </c>
      <c r="J27" s="4">
        <v>0</v>
      </c>
      <c r="K27" s="14">
        <v>0</v>
      </c>
      <c r="L27" s="8">
        <v>0</v>
      </c>
      <c r="M27" s="16">
        <v>0</v>
      </c>
      <c r="N27" s="14">
        <v>0</v>
      </c>
      <c r="O27" s="12">
        <v>0</v>
      </c>
      <c r="P27" s="16">
        <v>0</v>
      </c>
      <c r="Q27" s="4">
        <v>0</v>
      </c>
      <c r="R27" s="10">
        <v>0</v>
      </c>
      <c r="S27" s="16">
        <v>0</v>
      </c>
      <c r="T27" s="8">
        <v>0</v>
      </c>
      <c r="U27" s="8">
        <v>0</v>
      </c>
      <c r="V27" s="14">
        <v>0</v>
      </c>
      <c r="W27" s="4">
        <v>0</v>
      </c>
      <c r="X27" s="10">
        <v>0</v>
      </c>
      <c r="Y27" s="12">
        <v>1</v>
      </c>
      <c r="Z27" s="12">
        <v>2</v>
      </c>
      <c r="AA27" s="10">
        <v>1</v>
      </c>
      <c r="AB27" s="8">
        <v>1</v>
      </c>
      <c r="AD27">
        <f>E27+J27+Q27+W27</f>
        <v>2</v>
      </c>
      <c r="AE27">
        <f t="shared" si="7"/>
        <v>1</v>
      </c>
      <c r="AF27">
        <f>F27+R27+AA27+X27</f>
        <v>3</v>
      </c>
      <c r="AG27">
        <f>H27+I27+O27+Y27+Z27</f>
        <v>5</v>
      </c>
      <c r="AH27">
        <f>G27+N27+K27+V27</f>
        <v>2</v>
      </c>
      <c r="AI27">
        <f t="shared" si="11"/>
        <v>0</v>
      </c>
      <c r="AK27">
        <f t="shared" si="12"/>
        <v>0.25</v>
      </c>
      <c r="AL27">
        <f t="shared" si="13"/>
        <v>0.25</v>
      </c>
      <c r="AM27">
        <f t="shared" si="14"/>
        <v>0.375</v>
      </c>
      <c r="AN27">
        <f t="shared" si="15"/>
        <v>1</v>
      </c>
      <c r="AO27">
        <f t="shared" si="16"/>
        <v>0.5</v>
      </c>
      <c r="AP27">
        <f t="shared" si="17"/>
        <v>0</v>
      </c>
      <c r="AR27" s="4">
        <f t="shared" si="18"/>
        <v>0.25</v>
      </c>
      <c r="AS27" s="4">
        <f t="shared" si="19"/>
        <v>0.25</v>
      </c>
      <c r="AT27" s="4">
        <f t="shared" si="20"/>
        <v>0.375</v>
      </c>
      <c r="AU27" s="4">
        <f t="shared" si="21"/>
        <v>1</v>
      </c>
      <c r="AV27" s="4">
        <f t="shared" si="22"/>
        <v>0.5</v>
      </c>
      <c r="AW27" s="4">
        <f t="shared" si="23"/>
        <v>0</v>
      </c>
      <c r="AX27" s="4"/>
      <c r="AY27" s="2">
        <f t="shared" si="24"/>
        <v>2.375</v>
      </c>
      <c r="BA27">
        <f t="shared" si="26"/>
        <v>0.5</v>
      </c>
      <c r="BB27">
        <f t="shared" si="27"/>
        <v>0.5</v>
      </c>
      <c r="BC27">
        <f t="shared" si="28"/>
        <v>0.5</v>
      </c>
      <c r="BD27">
        <f t="shared" si="29"/>
        <v>1</v>
      </c>
      <c r="BE27">
        <f t="shared" si="30"/>
        <v>0.5</v>
      </c>
      <c r="BF27">
        <f t="shared" si="31"/>
        <v>0</v>
      </c>
      <c r="BH27">
        <f t="shared" si="32"/>
        <v>3</v>
      </c>
    </row>
    <row r="28" spans="1:60" ht="24.85" customHeight="1" thickBot="1" x14ac:dyDescent="0.5">
      <c r="A28">
        <f t="shared" si="5"/>
        <v>24</v>
      </c>
      <c r="B28" t="s">
        <v>23</v>
      </c>
      <c r="E28" s="40">
        <v>2</v>
      </c>
      <c r="F28" s="41">
        <v>2</v>
      </c>
      <c r="G28" s="14">
        <v>2</v>
      </c>
      <c r="H28" s="12">
        <v>2</v>
      </c>
      <c r="I28" s="12">
        <v>2</v>
      </c>
      <c r="J28" s="4">
        <v>2</v>
      </c>
      <c r="K28" s="14">
        <v>2</v>
      </c>
      <c r="L28" s="8">
        <v>0</v>
      </c>
      <c r="M28" s="16">
        <v>0</v>
      </c>
      <c r="N28" s="14">
        <v>2</v>
      </c>
      <c r="O28" s="12">
        <v>2</v>
      </c>
      <c r="P28" s="16">
        <v>1</v>
      </c>
      <c r="Q28" s="4">
        <v>2</v>
      </c>
      <c r="R28" s="10">
        <v>2</v>
      </c>
      <c r="S28" s="16">
        <v>2</v>
      </c>
      <c r="T28" s="8">
        <v>2</v>
      </c>
      <c r="U28" s="8">
        <v>2</v>
      </c>
      <c r="V28" s="14">
        <v>0</v>
      </c>
      <c r="W28" s="4">
        <v>2</v>
      </c>
      <c r="X28" s="10">
        <v>2</v>
      </c>
      <c r="Y28" s="12">
        <v>2</v>
      </c>
      <c r="Z28" s="12">
        <v>0</v>
      </c>
      <c r="AA28" s="10">
        <v>2</v>
      </c>
      <c r="AB28" s="8">
        <v>2</v>
      </c>
      <c r="AD28">
        <f>E28+J28+Q28+W28</f>
        <v>8</v>
      </c>
      <c r="AE28">
        <f t="shared" si="7"/>
        <v>6</v>
      </c>
      <c r="AF28">
        <f>F28+R28+AA28+X28</f>
        <v>8</v>
      </c>
      <c r="AG28">
        <f>H28+I28+O28+Y28+Z28</f>
        <v>8</v>
      </c>
      <c r="AH28">
        <f>G28+N28+K28+V28</f>
        <v>6</v>
      </c>
      <c r="AI28">
        <f t="shared" si="11"/>
        <v>3</v>
      </c>
      <c r="AK28">
        <f t="shared" si="12"/>
        <v>1</v>
      </c>
      <c r="AL28">
        <f t="shared" si="13"/>
        <v>1.5</v>
      </c>
      <c r="AM28">
        <f t="shared" si="14"/>
        <v>1</v>
      </c>
      <c r="AN28">
        <f t="shared" si="15"/>
        <v>1.6</v>
      </c>
      <c r="AO28">
        <f t="shared" si="16"/>
        <v>1.5</v>
      </c>
      <c r="AP28">
        <f t="shared" si="17"/>
        <v>1</v>
      </c>
      <c r="AR28" s="4">
        <f t="shared" si="18"/>
        <v>1</v>
      </c>
      <c r="AS28" s="4">
        <f t="shared" si="19"/>
        <v>2</v>
      </c>
      <c r="AT28" s="4">
        <f t="shared" si="20"/>
        <v>1</v>
      </c>
      <c r="AU28" s="4">
        <f t="shared" si="21"/>
        <v>2</v>
      </c>
      <c r="AV28" s="4">
        <f t="shared" si="22"/>
        <v>2</v>
      </c>
      <c r="AW28" s="4">
        <f t="shared" si="23"/>
        <v>1</v>
      </c>
      <c r="AX28" s="4"/>
      <c r="AY28" s="2">
        <f t="shared" si="24"/>
        <v>9</v>
      </c>
      <c r="BA28">
        <f t="shared" si="26"/>
        <v>1</v>
      </c>
      <c r="BB28">
        <f t="shared" si="27"/>
        <v>2</v>
      </c>
      <c r="BC28">
        <f t="shared" si="28"/>
        <v>1</v>
      </c>
      <c r="BD28">
        <f t="shared" si="29"/>
        <v>2</v>
      </c>
      <c r="BE28">
        <f t="shared" si="30"/>
        <v>2</v>
      </c>
      <c r="BF28">
        <f t="shared" si="31"/>
        <v>1</v>
      </c>
      <c r="BH28">
        <f t="shared" si="32"/>
        <v>9</v>
      </c>
    </row>
    <row r="29" spans="1:60" ht="24.85" customHeight="1" thickBot="1" x14ac:dyDescent="0.5">
      <c r="A29">
        <f t="shared" si="5"/>
        <v>25</v>
      </c>
      <c r="B29" t="s">
        <v>24</v>
      </c>
      <c r="E29" s="4"/>
      <c r="F29" s="10"/>
      <c r="G29" s="14"/>
      <c r="H29" s="12"/>
      <c r="I29" s="12"/>
      <c r="J29" s="4"/>
      <c r="K29" s="14"/>
      <c r="L29" s="8"/>
      <c r="M29" s="16"/>
      <c r="N29" s="14"/>
      <c r="O29" s="12"/>
      <c r="P29" s="16"/>
      <c r="Q29" s="4"/>
      <c r="R29" s="10"/>
      <c r="S29" s="16"/>
      <c r="T29" s="8"/>
      <c r="U29" s="8"/>
      <c r="V29" s="14"/>
      <c r="W29" s="4"/>
      <c r="X29" s="10"/>
      <c r="Y29" s="12"/>
      <c r="Z29" s="12"/>
      <c r="AA29" s="10"/>
      <c r="AB29" s="8"/>
      <c r="AD29">
        <f>E29+J29+Q29+W29</f>
        <v>0</v>
      </c>
      <c r="AE29">
        <f t="shared" si="7"/>
        <v>0</v>
      </c>
      <c r="AF29">
        <f>F29+R29+AA29+X29</f>
        <v>0</v>
      </c>
      <c r="AG29">
        <f>H29+I29+O29+Y29+Z29</f>
        <v>0</v>
      </c>
      <c r="AH29">
        <f>G29+N29+K29+V29</f>
        <v>0</v>
      </c>
      <c r="AI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  <c r="AP29">
        <f t="shared" si="17"/>
        <v>0</v>
      </c>
      <c r="AR29" s="4">
        <f t="shared" si="18"/>
        <v>0</v>
      </c>
      <c r="AS29" s="4">
        <f t="shared" si="19"/>
        <v>0</v>
      </c>
      <c r="AT29" s="4">
        <f t="shared" si="20"/>
        <v>0</v>
      </c>
      <c r="AU29" s="4">
        <f t="shared" si="21"/>
        <v>0</v>
      </c>
      <c r="AV29" s="4">
        <f t="shared" si="22"/>
        <v>0</v>
      </c>
      <c r="AW29" s="4">
        <f t="shared" si="23"/>
        <v>0</v>
      </c>
      <c r="AX29" s="4"/>
      <c r="AY29" s="2">
        <f t="shared" si="24"/>
        <v>0</v>
      </c>
    </row>
    <row r="30" spans="1:60" ht="24.85" customHeight="1" x14ac:dyDescent="0.45"/>
    <row r="31" spans="1:60" ht="22.9" customHeight="1" x14ac:dyDescent="0.45">
      <c r="E31" s="4"/>
      <c r="F31" s="10"/>
      <c r="G31" s="14"/>
      <c r="H31" s="12"/>
      <c r="I31" s="12"/>
      <c r="J31" s="4"/>
      <c r="K31" s="14"/>
      <c r="L31" s="8"/>
      <c r="M31" s="16"/>
      <c r="N31" s="14"/>
      <c r="O31" s="12"/>
      <c r="P31" s="16"/>
      <c r="Q31" s="4"/>
      <c r="R31" s="10"/>
      <c r="S31" s="16"/>
      <c r="T31" s="8"/>
      <c r="U31" s="8"/>
      <c r="V31" s="14"/>
      <c r="W31" s="4"/>
      <c r="X31" s="10"/>
      <c r="Y31" s="12"/>
      <c r="Z31" s="12"/>
      <c r="AA31" s="10"/>
      <c r="AB31" s="8"/>
      <c r="AR31">
        <f t="shared" ref="AR31:AW31" si="33">AVERAGE(AR5:AR29)</f>
        <v>0.66666666666666663</v>
      </c>
      <c r="AS31">
        <f t="shared" si="33"/>
        <v>0.86309523809523814</v>
      </c>
      <c r="AT31">
        <f t="shared" si="33"/>
        <v>0.60416666666666663</v>
      </c>
      <c r="AU31">
        <f t="shared" si="33"/>
        <v>0.99047619047619029</v>
      </c>
      <c r="AV31">
        <f t="shared" si="33"/>
        <v>1.2202380952380953</v>
      </c>
      <c r="AW31">
        <f t="shared" si="33"/>
        <v>0.69841269841269848</v>
      </c>
      <c r="AY31">
        <f>AVERAGE(AY5:AY29)</f>
        <v>5.0430555555555561</v>
      </c>
      <c r="BH31">
        <f>AVERAGE(BH5:BH29)</f>
        <v>5.8</v>
      </c>
    </row>
    <row r="32" spans="1:60" ht="22.9" customHeight="1" x14ac:dyDescent="0.45">
      <c r="E32" s="4"/>
      <c r="F32" s="10"/>
      <c r="G32" s="14"/>
      <c r="H32" s="12"/>
      <c r="I32" s="12"/>
      <c r="J32" s="4"/>
      <c r="K32" s="14"/>
      <c r="L32" s="8"/>
      <c r="M32" s="16"/>
      <c r="N32" s="14"/>
      <c r="O32" s="12"/>
      <c r="P32" s="16"/>
      <c r="Q32" s="4"/>
      <c r="R32" s="10"/>
      <c r="S32" s="16"/>
      <c r="T32" s="8"/>
      <c r="U32" s="8"/>
      <c r="V32" s="14"/>
      <c r="W32" s="4"/>
      <c r="X32" s="10"/>
      <c r="Y32" s="12"/>
      <c r="Z32" s="12"/>
      <c r="AA32" s="10"/>
      <c r="AB32" s="8"/>
      <c r="AR32">
        <f t="shared" ref="AR32:AY32" si="34">AR31/2</f>
        <v>0.33333333333333331</v>
      </c>
      <c r="AS32">
        <f t="shared" si="34"/>
        <v>0.43154761904761907</v>
      </c>
      <c r="AT32">
        <f t="shared" si="34"/>
        <v>0.30208333333333331</v>
      </c>
      <c r="AU32">
        <f t="shared" si="34"/>
        <v>0.49523809523809514</v>
      </c>
      <c r="AV32">
        <f t="shared" si="34"/>
        <v>0.61011904761904767</v>
      </c>
      <c r="AW32">
        <f t="shared" si="34"/>
        <v>0.34920634920634924</v>
      </c>
      <c r="AY32">
        <f t="shared" si="34"/>
        <v>2.521527777777778</v>
      </c>
      <c r="BH32">
        <f t="shared" ref="BH32" si="35">BH31/2</f>
        <v>2.9</v>
      </c>
    </row>
    <row r="33" spans="5:60" ht="22.9" customHeight="1" thickBot="1" x14ac:dyDescent="0.5">
      <c r="E33" s="4"/>
      <c r="F33" s="10"/>
      <c r="G33" s="14"/>
      <c r="H33" s="12"/>
      <c r="I33" s="12"/>
      <c r="J33" s="4"/>
      <c r="K33" s="14"/>
      <c r="L33" s="8"/>
      <c r="M33" s="16"/>
      <c r="N33" s="14"/>
      <c r="O33" s="12"/>
      <c r="P33" s="16"/>
      <c r="Q33" s="4"/>
      <c r="R33" s="10"/>
      <c r="S33" s="16"/>
      <c r="T33" s="8"/>
      <c r="U33" s="8"/>
      <c r="V33" s="14"/>
      <c r="W33" s="4"/>
      <c r="X33" s="10"/>
      <c r="Y33" s="12"/>
      <c r="Z33" s="12"/>
      <c r="AA33" s="10"/>
      <c r="AB33" s="8"/>
      <c r="AR33">
        <f t="shared" ref="AR33:AY33" si="36">AR32*100</f>
        <v>33.333333333333329</v>
      </c>
      <c r="AS33">
        <f t="shared" si="36"/>
        <v>43.154761904761905</v>
      </c>
      <c r="AT33">
        <f t="shared" si="36"/>
        <v>30.208333333333332</v>
      </c>
      <c r="AU33">
        <f t="shared" si="36"/>
        <v>49.523809523809511</v>
      </c>
      <c r="AV33">
        <f t="shared" si="36"/>
        <v>61.011904761904766</v>
      </c>
      <c r="AW33">
        <f t="shared" si="36"/>
        <v>34.920634920634924</v>
      </c>
      <c r="AY33">
        <f t="shared" si="36"/>
        <v>252.1527777777778</v>
      </c>
      <c r="BH33">
        <f t="shared" ref="BH33" si="37">BH32*100</f>
        <v>290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2026-04-03T05:49:20Z</dcterms:modified>
</cp:coreProperties>
</file>