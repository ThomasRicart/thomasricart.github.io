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4-2025\--- PREMIERE NSI ---\--- EVALS ---\DS01-var_fonc_if\"/>
    </mc:Choice>
  </mc:AlternateContent>
  <xr:revisionPtr revIDLastSave="0" documentId="8_{996FA6AB-88DC-454A-BDEF-3BD5B45B4174}" xr6:coauthVersionLast="43" xr6:coauthVersionMax="43" xr10:uidLastSave="{00000000-0000-0000-0000-000000000000}"/>
  <bookViews>
    <workbookView xWindow="-110" yWindow="-110" windowWidth="22780" windowHeight="14540" xr2:uid="{9BDD8EF1-954F-4986-9976-54EA6349BF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15" i="1" l="1"/>
  <c r="N31" i="1"/>
  <c r="N30" i="1"/>
  <c r="N29" i="1"/>
  <c r="N27" i="1"/>
  <c r="N26" i="1"/>
  <c r="N25" i="1"/>
  <c r="N24" i="1"/>
  <c r="N21" i="1"/>
  <c r="N17" i="1"/>
  <c r="N15" i="1"/>
  <c r="N14" i="1"/>
  <c r="N13" i="1"/>
  <c r="N12" i="1"/>
  <c r="N11" i="1"/>
  <c r="N10" i="1"/>
  <c r="N9" i="1"/>
  <c r="N8" i="1"/>
  <c r="N7" i="1"/>
  <c r="N6" i="1"/>
  <c r="N5" i="1"/>
  <c r="M31" i="1"/>
  <c r="M30" i="1"/>
  <c r="M29" i="1"/>
  <c r="M28" i="1"/>
  <c r="N28" i="1" s="1"/>
  <c r="M27" i="1"/>
  <c r="M26" i="1"/>
  <c r="M25" i="1"/>
  <c r="M24" i="1"/>
  <c r="M23" i="1"/>
  <c r="N23" i="1" s="1"/>
  <c r="M22" i="1"/>
  <c r="N22" i="1" s="1"/>
  <c r="M21" i="1"/>
  <c r="M20" i="1"/>
  <c r="N20" i="1" s="1"/>
  <c r="M19" i="1"/>
  <c r="N19" i="1" s="1"/>
  <c r="M18" i="1"/>
  <c r="N18" i="1" s="1"/>
  <c r="M17" i="1"/>
  <c r="M16" i="1"/>
  <c r="N16" i="1" s="1"/>
  <c r="M14" i="1"/>
  <c r="M13" i="1"/>
  <c r="M12" i="1"/>
  <c r="M11" i="1"/>
  <c r="M10" i="1"/>
  <c r="M9" i="1"/>
  <c r="M8" i="1"/>
  <c r="M7" i="1"/>
  <c r="M6" i="1"/>
  <c r="M5" i="1"/>
  <c r="M4" i="1"/>
  <c r="N4" i="1" l="1"/>
</calcChain>
</file>

<file path=xl/sharedStrings.xml><?xml version="1.0" encoding="utf-8"?>
<sst xmlns="http://schemas.openxmlformats.org/spreadsheetml/2006/main" count="58" uniqueCount="58">
  <si>
    <t>AUGUSTIN</t>
  </si>
  <si>
    <t>Clément</t>
  </si>
  <si>
    <t>Q1.1</t>
  </si>
  <si>
    <t>Q1.2</t>
  </si>
  <si>
    <t>Q1.3</t>
  </si>
  <si>
    <t>Q2.1</t>
  </si>
  <si>
    <t>Q2.2</t>
  </si>
  <si>
    <t>Q2.3</t>
  </si>
  <si>
    <t>Q3</t>
  </si>
  <si>
    <t>Q5</t>
  </si>
  <si>
    <t>Q4.1</t>
  </si>
  <si>
    <t>Q4.2</t>
  </si>
  <si>
    <t>BAKOUCHE</t>
  </si>
  <si>
    <t>Wendhal</t>
  </si>
  <si>
    <t>BEAUFUME</t>
  </si>
  <si>
    <t>Elia</t>
  </si>
  <si>
    <t>BELAAZIZ</t>
  </si>
  <si>
    <t>Yassir</t>
  </si>
  <si>
    <t>CALVIAC</t>
  </si>
  <si>
    <t>Camron</t>
  </si>
  <si>
    <t>FRANCHUK</t>
  </si>
  <si>
    <t>Vitali</t>
  </si>
  <si>
    <t>GIMENEZ</t>
  </si>
  <si>
    <t>Diego</t>
  </si>
  <si>
    <t>GIRAUDO</t>
  </si>
  <si>
    <t>Souleym</t>
  </si>
  <si>
    <t>LAGNAOUI</t>
  </si>
  <si>
    <t>Ishak</t>
  </si>
  <si>
    <t>LE BIHAN</t>
  </si>
  <si>
    <t>Adam</t>
  </si>
  <si>
    <t>NERRAND</t>
  </si>
  <si>
    <t>Dimitri</t>
  </si>
  <si>
    <t>OUSPANOV</t>
  </si>
  <si>
    <t>Kazbek</t>
  </si>
  <si>
    <t>QUARMEAU</t>
  </si>
  <si>
    <t>Florian</t>
  </si>
  <si>
    <t>RUSSEL</t>
  </si>
  <si>
    <t>Wesley</t>
  </si>
  <si>
    <t>YADAV</t>
  </si>
  <si>
    <t>Swastika</t>
  </si>
  <si>
    <t>BESSIERE</t>
  </si>
  <si>
    <t>Roma</t>
  </si>
  <si>
    <t>CARSON</t>
  </si>
  <si>
    <t>Liam</t>
  </si>
  <si>
    <t>Charli</t>
  </si>
  <si>
    <t>PIVOT</t>
  </si>
  <si>
    <t>PIHAN</t>
  </si>
  <si>
    <t>Erwan</t>
  </si>
  <si>
    <t>LAROSE</t>
  </si>
  <si>
    <t>Alexis</t>
  </si>
  <si>
    <t>KEN</t>
  </si>
  <si>
    <t>Maelle</t>
  </si>
  <si>
    <t>MONDON</t>
  </si>
  <si>
    <t>Elya</t>
  </si>
  <si>
    <t>LACAM</t>
  </si>
  <si>
    <t>Julia</t>
  </si>
  <si>
    <t>SERRANO</t>
  </si>
  <si>
    <t>Lali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</si>
</sst>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3EB4-FDC3-4705-A746-8454816A4C88}">
  <dimension ref="A3:N31"/>
  <sheetViews>
    <sheetView tabSelected="1" workbookViewId="0">
      <selection activeCell="K31" sqref="K31"/>
    </sheetView>
  </sheetViews>
  <sheetFormatPr baseColWidth="10" defaultRowHeight="14.5" x14ac:dyDescent="0.35"/>
  <cols>
    <col min="3" max="13" width="5" customWidth="1"/>
    <col min="14" max="14" width="10.90625" style="1"/>
  </cols>
  <sheetData>
    <row r="3" spans="1:14" x14ac:dyDescent="0.35"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10</v>
      </c>
      <c r="K3" t="s">
        <v>11</v>
      </c>
      <c r="L3" t="s">
        <v>9</v>
      </c>
    </row>
    <row r="4" spans="1:14" x14ac:dyDescent="0.35"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>
        <v>1</v>
      </c>
      <c r="J4">
        <v>1</v>
      </c>
      <c r="K4">
        <v>1</v>
      </c>
      <c r="L4">
        <v>0</v>
      </c>
      <c r="M4">
        <f>SUM(C4:L4)</f>
        <v>12</v>
      </c>
      <c r="N4" s="1">
        <f>AVERAGE(N5:N31)</f>
        <v>15.763888888888888</v>
      </c>
    </row>
    <row r="5" spans="1:14" x14ac:dyDescent="0.35">
      <c r="A5" t="s">
        <v>0</v>
      </c>
      <c r="B5" t="s">
        <v>1</v>
      </c>
      <c r="C5">
        <v>0.5</v>
      </c>
      <c r="D5">
        <v>0.5</v>
      </c>
      <c r="E5">
        <v>0</v>
      </c>
      <c r="F5">
        <v>2</v>
      </c>
      <c r="G5">
        <v>2</v>
      </c>
      <c r="H5">
        <v>2</v>
      </c>
      <c r="I5">
        <v>0</v>
      </c>
      <c r="J5">
        <v>0</v>
      </c>
      <c r="K5">
        <v>0.5</v>
      </c>
      <c r="M5">
        <f t="shared" ref="M5:M31" si="0">SUM(C5:L5)</f>
        <v>7.5</v>
      </c>
      <c r="N5" s="1">
        <f>IF(A5="","",20*M5/$M$4)</f>
        <v>12.5</v>
      </c>
    </row>
    <row r="6" spans="1:14" x14ac:dyDescent="0.35">
      <c r="A6" t="s">
        <v>12</v>
      </c>
      <c r="B6" t="s">
        <v>13</v>
      </c>
      <c r="C6">
        <v>0.5</v>
      </c>
      <c r="D6">
        <v>1</v>
      </c>
      <c r="E6">
        <v>0</v>
      </c>
      <c r="F6">
        <v>2</v>
      </c>
      <c r="G6">
        <v>2</v>
      </c>
      <c r="H6">
        <v>2</v>
      </c>
      <c r="I6">
        <v>1</v>
      </c>
      <c r="J6">
        <v>0.5</v>
      </c>
      <c r="K6">
        <v>1</v>
      </c>
      <c r="L6">
        <v>0</v>
      </c>
      <c r="M6">
        <f t="shared" si="0"/>
        <v>10</v>
      </c>
      <c r="N6" s="1">
        <f t="shared" ref="N6:N31" si="1">IF(A6="","",20*M6/$M$4)</f>
        <v>16.666666666666668</v>
      </c>
    </row>
    <row r="7" spans="1:14" x14ac:dyDescent="0.35">
      <c r="A7" t="s">
        <v>14</v>
      </c>
      <c r="B7" t="s">
        <v>15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>
        <v>1</v>
      </c>
      <c r="J7">
        <v>0.5</v>
      </c>
      <c r="K7">
        <v>0.5</v>
      </c>
      <c r="L7">
        <v>0</v>
      </c>
      <c r="M7">
        <f t="shared" si="0"/>
        <v>11</v>
      </c>
      <c r="N7" s="1">
        <f t="shared" si="1"/>
        <v>18.333333333333332</v>
      </c>
    </row>
    <row r="8" spans="1:14" x14ac:dyDescent="0.35">
      <c r="A8" t="s">
        <v>16</v>
      </c>
      <c r="B8" t="s">
        <v>17</v>
      </c>
      <c r="C8">
        <v>1</v>
      </c>
      <c r="D8">
        <v>1</v>
      </c>
      <c r="E8">
        <v>0.5</v>
      </c>
      <c r="F8">
        <v>2</v>
      </c>
      <c r="G8">
        <v>2</v>
      </c>
      <c r="H8">
        <v>0</v>
      </c>
      <c r="I8">
        <v>0.5</v>
      </c>
      <c r="J8">
        <v>0</v>
      </c>
      <c r="K8">
        <v>0</v>
      </c>
      <c r="L8">
        <v>0</v>
      </c>
      <c r="M8">
        <f t="shared" si="0"/>
        <v>7</v>
      </c>
      <c r="N8" s="1">
        <f t="shared" si="1"/>
        <v>11.666666666666666</v>
      </c>
    </row>
    <row r="9" spans="1:14" x14ac:dyDescent="0.35">
      <c r="A9" t="s">
        <v>18</v>
      </c>
      <c r="B9" t="s">
        <v>19</v>
      </c>
      <c r="C9">
        <v>0.5</v>
      </c>
      <c r="D9">
        <v>0.5</v>
      </c>
      <c r="E9">
        <v>0</v>
      </c>
      <c r="F9">
        <v>2</v>
      </c>
      <c r="G9">
        <v>0.5</v>
      </c>
      <c r="H9">
        <v>0.5</v>
      </c>
      <c r="I9">
        <v>0</v>
      </c>
      <c r="J9">
        <v>0</v>
      </c>
      <c r="K9">
        <v>0</v>
      </c>
      <c r="L9">
        <v>0</v>
      </c>
      <c r="M9">
        <f t="shared" si="0"/>
        <v>4</v>
      </c>
      <c r="N9" s="1">
        <f t="shared" si="1"/>
        <v>6.666666666666667</v>
      </c>
    </row>
    <row r="10" spans="1:14" x14ac:dyDescent="0.35">
      <c r="A10" t="s">
        <v>20</v>
      </c>
      <c r="B10" t="s">
        <v>21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>
        <v>1</v>
      </c>
      <c r="J10">
        <v>0.5</v>
      </c>
      <c r="K10">
        <v>0</v>
      </c>
      <c r="L10">
        <v>0</v>
      </c>
      <c r="M10">
        <f t="shared" si="0"/>
        <v>10.5</v>
      </c>
      <c r="N10" s="1">
        <f t="shared" si="1"/>
        <v>17.5</v>
      </c>
    </row>
    <row r="11" spans="1:14" x14ac:dyDescent="0.35">
      <c r="A11" t="s">
        <v>22</v>
      </c>
      <c r="B11" t="s">
        <v>23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>
        <v>1</v>
      </c>
      <c r="J11">
        <v>1</v>
      </c>
      <c r="K11">
        <v>1</v>
      </c>
      <c r="M11">
        <f t="shared" si="0"/>
        <v>12</v>
      </c>
      <c r="N11" s="1">
        <f t="shared" si="1"/>
        <v>20</v>
      </c>
    </row>
    <row r="12" spans="1:14" x14ac:dyDescent="0.35">
      <c r="A12" t="s">
        <v>24</v>
      </c>
      <c r="B12" t="s">
        <v>25</v>
      </c>
      <c r="C12">
        <v>0.5</v>
      </c>
      <c r="D12">
        <v>0</v>
      </c>
      <c r="E12">
        <v>0</v>
      </c>
      <c r="F12">
        <v>1</v>
      </c>
      <c r="G12">
        <v>0.5</v>
      </c>
      <c r="H12">
        <v>0</v>
      </c>
      <c r="I12">
        <v>0.5</v>
      </c>
      <c r="J12">
        <v>0</v>
      </c>
      <c r="K12">
        <v>0</v>
      </c>
      <c r="M12">
        <f t="shared" si="0"/>
        <v>2.5</v>
      </c>
      <c r="N12" s="1">
        <f t="shared" si="1"/>
        <v>4.166666666666667</v>
      </c>
    </row>
    <row r="13" spans="1:14" x14ac:dyDescent="0.35">
      <c r="A13" t="s">
        <v>26</v>
      </c>
      <c r="B13" t="s">
        <v>27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>
        <v>1</v>
      </c>
      <c r="J13">
        <v>0.5</v>
      </c>
      <c r="K13">
        <v>1</v>
      </c>
      <c r="M13">
        <f t="shared" si="0"/>
        <v>11.5</v>
      </c>
      <c r="N13" s="1">
        <f t="shared" si="1"/>
        <v>19.166666666666668</v>
      </c>
    </row>
    <row r="14" spans="1:14" x14ac:dyDescent="0.35">
      <c r="A14" t="s">
        <v>28</v>
      </c>
      <c r="B14" t="s">
        <v>29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>
        <v>1</v>
      </c>
      <c r="J14">
        <v>1</v>
      </c>
      <c r="K14">
        <v>1</v>
      </c>
      <c r="M14">
        <f t="shared" si="0"/>
        <v>11</v>
      </c>
      <c r="N14" s="1">
        <f t="shared" si="1"/>
        <v>18.333333333333332</v>
      </c>
    </row>
    <row r="15" spans="1:14" x14ac:dyDescent="0.35">
      <c r="A15" t="s">
        <v>30</v>
      </c>
      <c r="B15" t="s">
        <v>31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>
        <v>1</v>
      </c>
      <c r="J15">
        <v>1</v>
      </c>
      <c r="K15">
        <v>1</v>
      </c>
      <c r="M15">
        <f t="shared" ref="M15" si="2">SUM(C15:L15)</f>
        <v>12</v>
      </c>
      <c r="N15" s="1">
        <f t="shared" si="1"/>
        <v>20</v>
      </c>
    </row>
    <row r="16" spans="1:14" x14ac:dyDescent="0.35">
      <c r="A16" t="s">
        <v>32</v>
      </c>
      <c r="B16" t="s">
        <v>33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>
        <v>1</v>
      </c>
      <c r="J16">
        <v>1</v>
      </c>
      <c r="K16">
        <v>1</v>
      </c>
      <c r="M16">
        <f t="shared" si="0"/>
        <v>12</v>
      </c>
      <c r="N16" s="1">
        <f t="shared" si="1"/>
        <v>20</v>
      </c>
    </row>
    <row r="17" spans="1:14" x14ac:dyDescent="0.35">
      <c r="A17" t="s">
        <v>34</v>
      </c>
      <c r="B17" t="s">
        <v>35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>
        <v>1</v>
      </c>
      <c r="J17">
        <v>1</v>
      </c>
      <c r="K17">
        <v>1</v>
      </c>
      <c r="M17">
        <f t="shared" si="0"/>
        <v>12</v>
      </c>
      <c r="N17" s="1">
        <f t="shared" si="1"/>
        <v>20</v>
      </c>
    </row>
    <row r="18" spans="1:14" x14ac:dyDescent="0.35">
      <c r="A18" t="s">
        <v>36</v>
      </c>
      <c r="B18" t="s">
        <v>37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>
        <v>0.5</v>
      </c>
      <c r="J18">
        <v>1</v>
      </c>
      <c r="K18">
        <v>1</v>
      </c>
      <c r="L18">
        <v>0.5</v>
      </c>
      <c r="M18">
        <f t="shared" si="0"/>
        <v>12</v>
      </c>
      <c r="N18" s="1">
        <f t="shared" si="1"/>
        <v>20</v>
      </c>
    </row>
    <row r="19" spans="1:14" x14ac:dyDescent="0.35">
      <c r="A19" t="s">
        <v>38</v>
      </c>
      <c r="B19" t="s">
        <v>39</v>
      </c>
      <c r="C19">
        <v>1</v>
      </c>
      <c r="D19">
        <v>1</v>
      </c>
      <c r="E19">
        <v>1</v>
      </c>
      <c r="F19">
        <v>0</v>
      </c>
      <c r="G19">
        <v>0.5</v>
      </c>
      <c r="H19">
        <v>0.5</v>
      </c>
      <c r="I19">
        <v>0</v>
      </c>
      <c r="J19">
        <v>0</v>
      </c>
      <c r="K19">
        <v>0</v>
      </c>
      <c r="M19">
        <f t="shared" si="0"/>
        <v>4</v>
      </c>
      <c r="N19" s="1">
        <f t="shared" si="1"/>
        <v>6.666666666666667</v>
      </c>
    </row>
    <row r="20" spans="1:14" x14ac:dyDescent="0.35">
      <c r="A20" t="s">
        <v>40</v>
      </c>
      <c r="B20" t="s">
        <v>41</v>
      </c>
      <c r="C20">
        <v>1</v>
      </c>
      <c r="D20">
        <v>0.5</v>
      </c>
      <c r="E20">
        <v>0</v>
      </c>
      <c r="F20">
        <v>1.5</v>
      </c>
      <c r="G20">
        <v>2</v>
      </c>
      <c r="H20">
        <v>2</v>
      </c>
      <c r="I20">
        <v>0.5</v>
      </c>
      <c r="J20">
        <v>0</v>
      </c>
      <c r="K20">
        <v>0</v>
      </c>
      <c r="M20">
        <f t="shared" si="0"/>
        <v>7.5</v>
      </c>
      <c r="N20" s="1">
        <f t="shared" si="1"/>
        <v>12.5</v>
      </c>
    </row>
    <row r="21" spans="1:14" x14ac:dyDescent="0.35">
      <c r="A21" t="s">
        <v>42</v>
      </c>
      <c r="B21" t="s">
        <v>43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>
        <v>1</v>
      </c>
      <c r="J21">
        <v>1</v>
      </c>
      <c r="K21">
        <v>1</v>
      </c>
      <c r="M21">
        <f t="shared" si="0"/>
        <v>12</v>
      </c>
      <c r="N21" s="1">
        <f t="shared" si="1"/>
        <v>20</v>
      </c>
    </row>
    <row r="22" spans="1:14" x14ac:dyDescent="0.35">
      <c r="A22" t="s">
        <v>45</v>
      </c>
      <c r="B22" t="s">
        <v>44</v>
      </c>
      <c r="C22">
        <v>1</v>
      </c>
      <c r="D22">
        <v>1</v>
      </c>
      <c r="E22">
        <v>0</v>
      </c>
      <c r="F22">
        <v>2</v>
      </c>
      <c r="G22">
        <v>1</v>
      </c>
      <c r="H22">
        <v>2</v>
      </c>
      <c r="I22">
        <v>1</v>
      </c>
      <c r="J22">
        <v>0.5</v>
      </c>
      <c r="K22">
        <v>1</v>
      </c>
      <c r="M22">
        <f t="shared" si="0"/>
        <v>9.5</v>
      </c>
      <c r="N22" s="1">
        <f t="shared" si="1"/>
        <v>15.833333333333334</v>
      </c>
    </row>
    <row r="23" spans="1:14" x14ac:dyDescent="0.35">
      <c r="A23" t="s">
        <v>46</v>
      </c>
      <c r="B23" t="s">
        <v>47</v>
      </c>
      <c r="C23">
        <v>0.5</v>
      </c>
      <c r="D23">
        <v>1</v>
      </c>
      <c r="E23">
        <v>0.5</v>
      </c>
      <c r="F23">
        <v>2</v>
      </c>
      <c r="G23">
        <v>2</v>
      </c>
      <c r="H23">
        <v>2</v>
      </c>
      <c r="I23">
        <v>0</v>
      </c>
      <c r="J23">
        <v>1</v>
      </c>
      <c r="K23">
        <v>1</v>
      </c>
      <c r="M23">
        <f t="shared" si="0"/>
        <v>10</v>
      </c>
      <c r="N23" s="1">
        <f t="shared" si="1"/>
        <v>16.666666666666668</v>
      </c>
    </row>
    <row r="24" spans="1:14" x14ac:dyDescent="0.35">
      <c r="A24" t="s">
        <v>48</v>
      </c>
      <c r="B24" t="s">
        <v>49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>
        <v>1</v>
      </c>
      <c r="J24">
        <v>1</v>
      </c>
      <c r="K24">
        <v>1</v>
      </c>
      <c r="M24">
        <f t="shared" si="0"/>
        <v>12</v>
      </c>
      <c r="N24" s="1">
        <f t="shared" si="1"/>
        <v>20</v>
      </c>
    </row>
    <row r="25" spans="1:14" x14ac:dyDescent="0.35">
      <c r="A25" t="s">
        <v>50</v>
      </c>
      <c r="B25" t="s">
        <v>51</v>
      </c>
      <c r="C25">
        <v>1</v>
      </c>
      <c r="D25">
        <v>1</v>
      </c>
      <c r="E25">
        <v>0</v>
      </c>
      <c r="F25">
        <v>2</v>
      </c>
      <c r="G25">
        <v>2</v>
      </c>
      <c r="H25">
        <v>1</v>
      </c>
      <c r="I25">
        <v>0.5</v>
      </c>
      <c r="J25">
        <v>1</v>
      </c>
      <c r="K25">
        <v>1</v>
      </c>
      <c r="M25">
        <f t="shared" si="0"/>
        <v>9.5</v>
      </c>
      <c r="N25" s="1">
        <f t="shared" si="1"/>
        <v>15.833333333333334</v>
      </c>
    </row>
    <row r="26" spans="1:14" x14ac:dyDescent="0.35">
      <c r="A26" t="s">
        <v>52</v>
      </c>
      <c r="B26" t="s">
        <v>53</v>
      </c>
      <c r="C26">
        <v>1</v>
      </c>
      <c r="D26">
        <v>1</v>
      </c>
      <c r="E26">
        <v>1</v>
      </c>
      <c r="F26">
        <v>2</v>
      </c>
      <c r="G26">
        <v>2</v>
      </c>
      <c r="H26">
        <v>0</v>
      </c>
      <c r="I26">
        <v>0</v>
      </c>
      <c r="J26">
        <v>0</v>
      </c>
      <c r="K26">
        <v>0</v>
      </c>
      <c r="M26">
        <f t="shared" si="0"/>
        <v>7</v>
      </c>
      <c r="N26" s="1">
        <f t="shared" si="1"/>
        <v>11.666666666666666</v>
      </c>
    </row>
    <row r="27" spans="1:14" x14ac:dyDescent="0.35">
      <c r="A27" t="s">
        <v>54</v>
      </c>
      <c r="B27" t="s">
        <v>55</v>
      </c>
      <c r="C27">
        <v>1</v>
      </c>
      <c r="D27">
        <v>1</v>
      </c>
      <c r="E27">
        <v>0.5</v>
      </c>
      <c r="F27">
        <v>2</v>
      </c>
      <c r="G27">
        <v>2</v>
      </c>
      <c r="H27">
        <v>1.5</v>
      </c>
      <c r="I27">
        <v>1</v>
      </c>
      <c r="J27">
        <v>0</v>
      </c>
      <c r="K27">
        <v>1</v>
      </c>
      <c r="M27">
        <f t="shared" si="0"/>
        <v>10</v>
      </c>
      <c r="N27" s="1">
        <f t="shared" si="1"/>
        <v>16.666666666666668</v>
      </c>
    </row>
    <row r="28" spans="1:14" x14ac:dyDescent="0.35">
      <c r="A28" t="s">
        <v>56</v>
      </c>
      <c r="B28" t="s">
        <v>57</v>
      </c>
      <c r="C28">
        <v>1</v>
      </c>
      <c r="D28">
        <v>1</v>
      </c>
      <c r="E28">
        <v>1</v>
      </c>
      <c r="F28">
        <v>2</v>
      </c>
      <c r="G28">
        <v>2</v>
      </c>
      <c r="H28">
        <v>1</v>
      </c>
      <c r="I28">
        <v>0.5</v>
      </c>
      <c r="J28">
        <v>1</v>
      </c>
      <c r="K28">
        <v>1</v>
      </c>
      <c r="M28">
        <f t="shared" si="0"/>
        <v>10.5</v>
      </c>
      <c r="N28" s="1">
        <f t="shared" si="1"/>
        <v>17.5</v>
      </c>
    </row>
    <row r="29" spans="1:14" x14ac:dyDescent="0.35">
      <c r="M29">
        <f t="shared" si="0"/>
        <v>0</v>
      </c>
      <c r="N29" s="1" t="str">
        <f t="shared" si="1"/>
        <v/>
      </c>
    </row>
    <row r="30" spans="1:14" x14ac:dyDescent="0.35">
      <c r="M30">
        <f t="shared" si="0"/>
        <v>0</v>
      </c>
      <c r="N30" s="1" t="str">
        <f t="shared" si="1"/>
        <v/>
      </c>
    </row>
    <row r="31" spans="1:14" x14ac:dyDescent="0.35">
      <c r="M31">
        <f t="shared" si="0"/>
        <v>0</v>
      </c>
      <c r="N31" s="1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2024-10-09T15:54:11Z</dcterms:created>
  <dcterms:modified xsi:type="dcterms:W3CDTF">2024-10-09T17:07:49Z</dcterms:modified>
</cp:coreProperties>
</file>